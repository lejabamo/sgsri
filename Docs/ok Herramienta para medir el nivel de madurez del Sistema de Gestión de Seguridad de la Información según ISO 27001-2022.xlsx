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3.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drawings/drawing4.xml" ContentType="application/vnd.openxmlformats-officedocument.drawing+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drawings/drawing6.xml" ContentType="application/vnd.openxmlformats-officedocument.drawing+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drawings/drawing7.xml" ContentType="application/vnd.openxmlformats-officedocument.drawing+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drawings/drawing8.xml" ContentType="application/vnd.openxmlformats-officedocument.drawing+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mc:AlternateContent xmlns:mc="http://schemas.openxmlformats.org/markup-compatibility/2006">
    <mc:Choice Requires="x15">
      <x15ac:absPath xmlns:x15ac="http://schemas.microsoft.com/office/spreadsheetml/2010/11/ac" url="C:\Users\estudiante.pop\Downloads\"/>
    </mc:Choice>
  </mc:AlternateContent>
  <xr:revisionPtr revIDLastSave="0" documentId="8_{E96E681A-F501-45A2-8496-4E21B1C5765D}" xr6:coauthVersionLast="36" xr6:coauthVersionMax="36" xr10:uidLastSave="{00000000-0000-0000-0000-000000000000}"/>
  <bookViews>
    <workbookView xWindow="0" yWindow="0" windowWidth="24000" windowHeight="9225" tabRatio="890" firstSheet="1" activeTab="10" xr2:uid="{00000000-000D-0000-FFFF-FFFF00000000}"/>
  </bookViews>
  <sheets>
    <sheet name="Guía de uso" sheetId="2" r:id="rId1"/>
    <sheet name="Check - Contexto" sheetId="1" r:id="rId2"/>
    <sheet name="Check - Liderazgo" sheetId="9" r:id="rId3"/>
    <sheet name="Check - Planificación" sheetId="11" r:id="rId4"/>
    <sheet name="Check - Soporte" sheetId="12" r:id="rId5"/>
    <sheet name="Check - Operación" sheetId="13" r:id="rId6"/>
    <sheet name="Check - Evaluación" sheetId="14" r:id="rId7"/>
    <sheet name="Check - Mejora" sheetId="16" r:id="rId8"/>
    <sheet name="Recomendaciones" sheetId="6" state="hidden" r:id="rId9"/>
    <sheet name="Resumen y valoración" sheetId="3" r:id="rId10"/>
    <sheet name="Gráfico" sheetId="4" r:id="rId1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 i="6" l="1"/>
  <c r="F8" i="6"/>
  <c r="E8" i="6"/>
  <c r="D8" i="6"/>
  <c r="C45" i="3"/>
  <c r="C44" i="3"/>
  <c r="C42" i="3"/>
  <c r="C41" i="3"/>
  <c r="C40" i="3"/>
  <c r="C38" i="3"/>
  <c r="C37" i="3"/>
  <c r="C36" i="3"/>
  <c r="C34" i="3"/>
  <c r="C33" i="3"/>
  <c r="C32" i="3"/>
  <c r="C31" i="3"/>
  <c r="C30" i="3"/>
  <c r="C28" i="3"/>
  <c r="C27" i="3"/>
  <c r="C25" i="3"/>
  <c r="C24" i="3"/>
  <c r="C23" i="3"/>
  <c r="C21" i="3"/>
  <c r="C20" i="3"/>
  <c r="C19" i="3"/>
  <c r="C18" i="3"/>
  <c r="C34" i="4" l="1"/>
  <c r="C33" i="4"/>
  <c r="C32" i="4"/>
  <c r="C31" i="4"/>
  <c r="C30" i="4"/>
  <c r="C29" i="4"/>
  <c r="C28" i="4"/>
  <c r="C27" i="4"/>
  <c r="C26" i="4"/>
  <c r="C23" i="4"/>
  <c r="C24" i="4"/>
  <c r="C25" i="4"/>
  <c r="C21" i="4"/>
  <c r="C20" i="4"/>
  <c r="C18" i="4"/>
  <c r="C19" i="4"/>
  <c r="C17" i="4"/>
  <c r="C14" i="4"/>
  <c r="C15" i="4"/>
  <c r="C16" i="4"/>
  <c r="C13" i="4"/>
  <c r="G21" i="16" l="1"/>
  <c r="G15" i="16"/>
  <c r="J26" i="16"/>
  <c r="J25" i="16"/>
  <c r="J24" i="16"/>
  <c r="J23" i="16"/>
  <c r="J20" i="16"/>
  <c r="J19" i="16"/>
  <c r="J18" i="16"/>
  <c r="J17" i="16"/>
  <c r="G27" i="14"/>
  <c r="G21" i="14"/>
  <c r="G15" i="14"/>
  <c r="G27" i="13"/>
  <c r="G21" i="13"/>
  <c r="G15" i="13"/>
  <c r="G39" i="12"/>
  <c r="G33" i="12"/>
  <c r="G27" i="12"/>
  <c r="G21" i="12"/>
  <c r="G15" i="12"/>
  <c r="G21" i="11"/>
  <c r="G15" i="11"/>
  <c r="G27" i="9"/>
  <c r="G21" i="9"/>
  <c r="G15" i="9"/>
  <c r="G33" i="1"/>
  <c r="G27" i="1"/>
  <c r="G21" i="1"/>
  <c r="G15" i="1"/>
  <c r="J32" i="14"/>
  <c r="J31" i="14"/>
  <c r="J30" i="14"/>
  <c r="J29" i="14"/>
  <c r="J26" i="14"/>
  <c r="J25" i="14"/>
  <c r="J24" i="14"/>
  <c r="J23" i="14"/>
  <c r="J20" i="14"/>
  <c r="J19" i="14"/>
  <c r="J18" i="14"/>
  <c r="J17" i="14"/>
  <c r="J32" i="13"/>
  <c r="J31" i="13"/>
  <c r="J30" i="13"/>
  <c r="J29" i="13"/>
  <c r="J26" i="13"/>
  <c r="J25" i="13"/>
  <c r="J24" i="13"/>
  <c r="J23" i="13"/>
  <c r="J20" i="13"/>
  <c r="J19" i="13"/>
  <c r="J18" i="13"/>
  <c r="J17" i="13"/>
  <c r="J44" i="12"/>
  <c r="J43" i="12"/>
  <c r="J42" i="12"/>
  <c r="J41" i="12"/>
  <c r="J38" i="12"/>
  <c r="J37" i="12"/>
  <c r="J36" i="12"/>
  <c r="J35" i="12"/>
  <c r="J32" i="12"/>
  <c r="J31" i="12"/>
  <c r="J30" i="12"/>
  <c r="J29" i="12"/>
  <c r="J26" i="12"/>
  <c r="J25" i="12"/>
  <c r="J24" i="12"/>
  <c r="J23" i="12"/>
  <c r="J20" i="12"/>
  <c r="J19" i="12"/>
  <c r="J18" i="12"/>
  <c r="J17" i="12"/>
  <c r="D34" i="3" l="1"/>
  <c r="D36" i="3"/>
  <c r="D37" i="3"/>
  <c r="E28" i="4" s="1"/>
  <c r="D31" i="3"/>
  <c r="E31" i="3" s="1"/>
  <c r="H31" i="3" s="1"/>
  <c r="D30" i="3"/>
  <c r="D45" i="3"/>
  <c r="D38" i="3"/>
  <c r="D41" i="3"/>
  <c r="E41" i="3" s="1"/>
  <c r="H41" i="3" s="1"/>
  <c r="D40" i="3"/>
  <c r="D32" i="3"/>
  <c r="E32" i="3" s="1"/>
  <c r="H32" i="3" s="1"/>
  <c r="D44" i="3"/>
  <c r="D43" i="3" s="1"/>
  <c r="E43" i="3" s="1"/>
  <c r="D33" i="3"/>
  <c r="E33" i="3" s="1"/>
  <c r="H33" i="3" s="1"/>
  <c r="D42" i="3"/>
  <c r="C22" i="4"/>
  <c r="J26" i="11"/>
  <c r="J25" i="11"/>
  <c r="J24" i="11"/>
  <c r="J23" i="11"/>
  <c r="J20" i="11"/>
  <c r="J19" i="11"/>
  <c r="J18" i="11"/>
  <c r="J17" i="11"/>
  <c r="D39" i="3" l="1"/>
  <c r="E39" i="3" s="1"/>
  <c r="E22" i="4"/>
  <c r="D29" i="3"/>
  <c r="E29" i="3" s="1"/>
  <c r="E36" i="3"/>
  <c r="H36" i="3" s="1"/>
  <c r="D35" i="3"/>
  <c r="E35" i="3" s="1"/>
  <c r="E34" i="4"/>
  <c r="E45" i="3"/>
  <c r="H45" i="3" s="1"/>
  <c r="E27" i="4"/>
  <c r="E42" i="3"/>
  <c r="H42" i="3" s="1"/>
  <c r="E38" i="3"/>
  <c r="H38" i="3" s="1"/>
  <c r="E23" i="4"/>
  <c r="E34" i="3"/>
  <c r="H34" i="3" s="1"/>
  <c r="E44" i="3"/>
  <c r="H44" i="3" s="1"/>
  <c r="E40" i="3"/>
  <c r="H40" i="3" s="1"/>
  <c r="E37" i="3"/>
  <c r="H37" i="3" s="1"/>
  <c r="E30" i="3"/>
  <c r="H30" i="3" s="1"/>
  <c r="D27" i="3"/>
  <c r="E33" i="4"/>
  <c r="E31" i="4"/>
  <c r="E30" i="4"/>
  <c r="E24" i="4"/>
  <c r="E29" i="4"/>
  <c r="D28" i="3"/>
  <c r="E28" i="3" s="1"/>
  <c r="H28" i="3" s="1"/>
  <c r="E32" i="4"/>
  <c r="E26" i="4"/>
  <c r="J32" i="9"/>
  <c r="J31" i="9"/>
  <c r="J30" i="9"/>
  <c r="J29" i="9"/>
  <c r="J26" i="9"/>
  <c r="J25" i="9"/>
  <c r="J24" i="9"/>
  <c r="J23" i="9"/>
  <c r="J20" i="9"/>
  <c r="J19" i="9"/>
  <c r="J18" i="9"/>
  <c r="J17" i="9"/>
  <c r="D26" i="3" l="1"/>
  <c r="E26" i="3" s="1"/>
  <c r="E20" i="4"/>
  <c r="E27" i="3"/>
  <c r="D24" i="3"/>
  <c r="E24" i="3" s="1"/>
  <c r="D25" i="3"/>
  <c r="E21" i="4"/>
  <c r="D23" i="3"/>
  <c r="E25" i="4"/>
  <c r="J17" i="1"/>
  <c r="D22" i="3" l="1"/>
  <c r="E22" i="3" s="1"/>
  <c r="E25" i="3"/>
  <c r="E23" i="3"/>
  <c r="H23" i="3" s="1"/>
  <c r="E17" i="4"/>
  <c r="E19" i="4"/>
  <c r="E18" i="4"/>
  <c r="H24" i="3"/>
  <c r="H25" i="3" l="1"/>
  <c r="H27" i="3"/>
  <c r="J38" i="1"/>
  <c r="J37" i="1"/>
  <c r="J36" i="1"/>
  <c r="J35" i="1"/>
  <c r="J32" i="1"/>
  <c r="J31" i="1"/>
  <c r="J30" i="1"/>
  <c r="J29" i="1"/>
  <c r="J26" i="1"/>
  <c r="J25" i="1"/>
  <c r="J24" i="1"/>
  <c r="J23" i="1"/>
  <c r="J20" i="1"/>
  <c r="J19" i="1"/>
  <c r="J18" i="1"/>
  <c r="D18" i="3" l="1"/>
  <c r="D19" i="3"/>
  <c r="D21" i="3"/>
  <c r="D20" i="3"/>
  <c r="D17" i="3" l="1"/>
  <c r="D16" i="3" s="1"/>
  <c r="E18" i="3"/>
  <c r="H18" i="3" s="1"/>
  <c r="E21" i="3"/>
  <c r="H21" i="3" s="1"/>
  <c r="E20" i="3"/>
  <c r="H20" i="3" s="1"/>
  <c r="E19" i="3"/>
  <c r="H19" i="3" s="1"/>
  <c r="E13" i="4"/>
  <c r="E15" i="4"/>
  <c r="AA11" i="2"/>
  <c r="AA10" i="2"/>
  <c r="AA9" i="2"/>
  <c r="AA8" i="2"/>
  <c r="AA7" i="2"/>
  <c r="AA6" i="2"/>
  <c r="E17" i="3" l="1"/>
  <c r="E16" i="3"/>
  <c r="A18" i="12"/>
  <c r="A30" i="14"/>
  <c r="A24" i="14"/>
  <c r="A18" i="14"/>
  <c r="A30" i="13"/>
  <c r="A24" i="13"/>
  <c r="A18" i="13"/>
  <c r="A42" i="12"/>
  <c r="A36" i="12"/>
  <c r="A30" i="12"/>
  <c r="A24" i="12"/>
  <c r="A24" i="16"/>
  <c r="A18" i="16"/>
  <c r="A32" i="14"/>
  <c r="A26" i="14"/>
  <c r="A20" i="14"/>
  <c r="A32" i="13"/>
  <c r="A26" i="13"/>
  <c r="A20" i="13"/>
  <c r="A44" i="12"/>
  <c r="A38" i="12"/>
  <c r="A32" i="12"/>
  <c r="A26" i="12"/>
  <c r="A20" i="12"/>
  <c r="A26" i="16"/>
  <c r="A20" i="16"/>
  <c r="A29" i="12"/>
  <c r="A17" i="14"/>
  <c r="A17" i="13"/>
  <c r="A23" i="14"/>
  <c r="A23" i="13"/>
  <c r="A35" i="12"/>
  <c r="A23" i="12"/>
  <c r="A23" i="16"/>
  <c r="A17" i="16"/>
  <c r="A29" i="14"/>
  <c r="A29" i="13"/>
  <c r="A41" i="12"/>
  <c r="A17" i="12"/>
  <c r="A31" i="12"/>
  <c r="A25" i="12"/>
  <c r="A37" i="12"/>
  <c r="A19" i="12"/>
  <c r="A31" i="14"/>
  <c r="A25" i="14"/>
  <c r="A19" i="14"/>
  <c r="A31" i="13"/>
  <c r="A25" i="13"/>
  <c r="A19" i="13"/>
  <c r="A43" i="12"/>
  <c r="A25" i="16"/>
  <c r="A19" i="16"/>
  <c r="A23" i="11"/>
  <c r="A17" i="11"/>
  <c r="A17" i="9"/>
  <c r="A29" i="9"/>
  <c r="A23" i="9"/>
  <c r="A25" i="11"/>
  <c r="A19" i="11"/>
  <c r="A31" i="9"/>
  <c r="A19" i="9"/>
  <c r="A25" i="9"/>
  <c r="A24" i="11"/>
  <c r="A18" i="11"/>
  <c r="A18" i="9"/>
  <c r="A30" i="9"/>
  <c r="A24" i="9"/>
  <c r="A20" i="11"/>
  <c r="A26" i="11"/>
  <c r="A26" i="9"/>
  <c r="A32" i="9"/>
  <c r="A20" i="9"/>
  <c r="G12" i="6"/>
  <c r="A38" i="1"/>
  <c r="A32" i="1"/>
  <c r="A20" i="1"/>
  <c r="A26" i="1"/>
  <c r="F12" i="6"/>
  <c r="A25" i="1"/>
  <c r="A37" i="1"/>
  <c r="A19" i="1"/>
  <c r="A31" i="1"/>
  <c r="D12" i="6"/>
  <c r="A17" i="1"/>
  <c r="A29" i="1"/>
  <c r="A23" i="1"/>
  <c r="A35" i="1"/>
  <c r="E12" i="6"/>
  <c r="A30" i="1"/>
  <c r="A18" i="1"/>
  <c r="A36" i="1"/>
  <c r="A24" i="1"/>
  <c r="E16" i="4" l="1"/>
  <c r="E14" i="4"/>
</calcChain>
</file>

<file path=xl/sharedStrings.xml><?xml version="1.0" encoding="utf-8"?>
<sst xmlns="http://schemas.openxmlformats.org/spreadsheetml/2006/main" count="833" uniqueCount="532">
  <si>
    <t>Entidad (o cliente):</t>
  </si>
  <si>
    <t xml:space="preserve">ID. </t>
  </si>
  <si>
    <t>Referencia</t>
  </si>
  <si>
    <t>Preparado por:</t>
  </si>
  <si>
    <t>Revisado por:</t>
  </si>
  <si>
    <t>XX-XX</t>
  </si>
  <si>
    <t>Supervisado por:</t>
  </si>
  <si>
    <t>Aprobado por:</t>
  </si>
  <si>
    <t>OBJETIVO</t>
  </si>
  <si>
    <t>Nivel</t>
  </si>
  <si>
    <t>Detalle</t>
  </si>
  <si>
    <t>Descripción</t>
  </si>
  <si>
    <t>Características</t>
  </si>
  <si>
    <t>CONCLUSIÓN Y/O OBSERVACIONES ADICIONALES</t>
  </si>
  <si>
    <t>INSTRUCCIONES DE USO</t>
  </si>
  <si>
    <t>Para el uso correcto de esta herramienta, usted debe:</t>
  </si>
  <si>
    <t>ALCANCE</t>
  </si>
  <si>
    <t>Personalización de niveles de madurez</t>
  </si>
  <si>
    <t>Definición</t>
  </si>
  <si>
    <t>Inicial</t>
  </si>
  <si>
    <t>Definido</t>
  </si>
  <si>
    <t>Gestionado</t>
  </si>
  <si>
    <t>Al seleccionar el nivel, de manera automática se resaltará el enunciado</t>
  </si>
  <si>
    <t>2. Resumen y valoración</t>
  </si>
  <si>
    <t>A continuación, visualice la estructura de esta hoja:</t>
  </si>
  <si>
    <t>3. Gráfico radial</t>
  </si>
  <si>
    <t>De color azul</t>
  </si>
  <si>
    <t>RECOMENDACIONES DE USO</t>
  </si>
  <si>
    <t>No modifique la formulación o estructura del documento. Si tiene cualquier duda o inquietud sobre su funcionamiento, lo invitamos a comunicarse por medio de nuestro correo electrónico: info@auditool.org</t>
  </si>
  <si>
    <t>Autor: Equipo Auditool</t>
  </si>
  <si>
    <t>info@auditool.org</t>
  </si>
  <si>
    <t>Período de auditoría de: 1/01/2023</t>
  </si>
  <si>
    <t>Hasta: 31/12/2023</t>
  </si>
  <si>
    <t>RESUMEN PUNTAJE</t>
  </si>
  <si>
    <t>Puntaje</t>
  </si>
  <si>
    <t>Nivel de madurez</t>
  </si>
  <si>
    <t>No.</t>
  </si>
  <si>
    <t>Riesgo</t>
  </si>
  <si>
    <t>Descripción del riesgo</t>
  </si>
  <si>
    <t>1.</t>
  </si>
  <si>
    <t>Insignificante</t>
  </si>
  <si>
    <t>Bajo</t>
  </si>
  <si>
    <t>Medio</t>
  </si>
  <si>
    <t>Componente</t>
  </si>
  <si>
    <t>Nivel actual</t>
  </si>
  <si>
    <t>Objetivo</t>
  </si>
  <si>
    <t>GRÁFICO RADIAL</t>
  </si>
  <si>
    <t>NIVELES DE MADUREZ</t>
  </si>
  <si>
    <t>PRINCIPIOS / ENFOQUE</t>
  </si>
  <si>
    <t>Alto</t>
  </si>
  <si>
    <t>Crítico</t>
  </si>
  <si>
    <t>Repetible</t>
  </si>
  <si>
    <t>RECOMENDACIONES PARA ALCANZAR EL SIGUIENTE NIVEL DE MADUREZ</t>
  </si>
  <si>
    <t>RECOMENDACIONES DE ACCIONES QUE PERMITEN ALCANZAR EL SIGUIENTE NIVEL DE MADUREZ</t>
  </si>
  <si>
    <t>ISO 31000</t>
  </si>
  <si>
    <t>1.1</t>
  </si>
  <si>
    <t>1.2</t>
  </si>
  <si>
    <t>1.3</t>
  </si>
  <si>
    <t>1.4</t>
  </si>
  <si>
    <t>Recomendaciones y/o acciones para alcanzar el siguiente nivel</t>
  </si>
  <si>
    <t>Mejora continua</t>
  </si>
  <si>
    <t>2.</t>
  </si>
  <si>
    <t>2.1</t>
  </si>
  <si>
    <t>2.2</t>
  </si>
  <si>
    <t>2.3</t>
  </si>
  <si>
    <t>Evaluación del desempeño</t>
  </si>
  <si>
    <t>Liderazgo y compromiso</t>
  </si>
  <si>
    <t>3.</t>
  </si>
  <si>
    <t>3.1</t>
  </si>
  <si>
    <t>3.2</t>
  </si>
  <si>
    <t>En estas hojas, en la columna "G" podrá marcar o seleccionar el nivel al cual corresponde el estado actual del cumplimiento de cada uno de los aspectos:</t>
  </si>
  <si>
    <t>RECUERDE: No seleccione dos niveles, ya que puede afectar el correcto funcionamiento de la herramienta y la evaluación del nivel actual</t>
  </si>
  <si>
    <t>De acuerdo con la información ingresada en las hojas de "Checklist" de cada aspecto, visualizará un resumen de cada uno de los niveles seleccionados.</t>
  </si>
  <si>
    <r>
      <rPr>
        <b/>
        <sz val="11"/>
        <color theme="1"/>
        <rFont val="Arial"/>
        <family val="2"/>
      </rPr>
      <t xml:space="preserve">2. Nivel actual: </t>
    </r>
    <r>
      <rPr>
        <sz val="11"/>
        <color theme="1"/>
        <rFont val="Arial"/>
        <family val="2"/>
      </rPr>
      <t>En esta columna podrá detallar cuál fue el nivel seleccionado en cada aspecto a tener en cuenta.</t>
    </r>
  </si>
  <si>
    <r>
      <rPr>
        <b/>
        <sz val="11"/>
        <color theme="1"/>
        <rFont val="Arial"/>
        <family val="2"/>
      </rPr>
      <t xml:space="preserve">2. Puntaje promedio nivel actual: </t>
    </r>
    <r>
      <rPr>
        <sz val="11"/>
        <color theme="1"/>
        <rFont val="Arial"/>
        <family val="2"/>
      </rPr>
      <t>En estas dos celdas visualizará el puntaje del nivel actual tanto cualitativamente como cuantitativamente respecto al promedio de las calificaciones de cada uno de los aspectos.</t>
    </r>
  </si>
  <si>
    <r>
      <rPr>
        <b/>
        <sz val="11"/>
        <color theme="1"/>
        <rFont val="Arial"/>
        <family val="2"/>
      </rPr>
      <t xml:space="preserve">4. Riesgo: </t>
    </r>
    <r>
      <rPr>
        <sz val="11"/>
        <color theme="1"/>
        <rFont val="Arial"/>
        <family val="2"/>
      </rPr>
      <t>Seleccione en esta columna la valoración del riesgo para cada aspecto, además podrá describir el riesgo en detalle.</t>
    </r>
  </si>
  <si>
    <r>
      <rPr>
        <b/>
        <sz val="11"/>
        <color theme="1"/>
        <rFont val="Arial"/>
        <family val="2"/>
      </rPr>
      <t xml:space="preserve">5. Recomendaciones y/o acciones para alcanzar el siguiente nivel: </t>
    </r>
    <r>
      <rPr>
        <sz val="11"/>
        <color theme="1"/>
        <rFont val="Arial"/>
        <family val="2"/>
      </rPr>
      <t>De manera automática visualice en esta columna un ejemplo de análisis, criterios y oportunidades de mejora para alcanzar el siguiente nivel, según el nivel actual evaluado.</t>
    </r>
  </si>
  <si>
    <t>De color naranja</t>
  </si>
  <si>
    <t>Resumen de resultados y gráfico radial para la evaluación del nivel actual del Sistema de Gestión de Riesgos y Seguridad según ISO 27001:2022</t>
  </si>
  <si>
    <t>Los procesos de gestión de la seguridad de la información no están documentados ni formalizados. Las actividades relacionadas con la seguridad de la información se llevan a cabo de manera ad-hoc y reactiva, respondiendo a incidentes y problemas a medida que surgen sin un enfoque estructurado.</t>
  </si>
  <si>
    <t xml:space="preserve">Los procesos de gestión de la seguridad de la información están documentados y existe un esfuerzo por seguir una metodología básica. Sin embargo, la implementación de estos procesos es inconsistente y depende en gran medida de individuos específicos. </t>
  </si>
  <si>
    <t xml:space="preserve">Los procesos de gestión de la seguridad de la información están bien documentados y definidos. La organización sigue metodologías estándar y existe un nivel básico de control y supervisión. </t>
  </si>
  <si>
    <t xml:space="preserve">La gestión de la seguridad de la información está bien integrada en la mayoría de los procesos de la organización. Los procesos están controlados y supervisados regularmente, utilizando métricas y KPIs para evaluar su efectividad. </t>
  </si>
  <si>
    <t>Esta herramienta permite evaluar y asegurar el estado actual de la implementación, mantenimiento y mejora del sistema de gestión de la seguridad de la información (SGSI) según la norma ISO 27001:2022, y determinar si está integrado y aplicado de manera efectiva en la organización. Esto incluye verificar que la seguridad de la información está gestionada de forma sistemática, adaptada a las necesidades organizacionales, y en mejora continua.</t>
  </si>
  <si>
    <t>El contexto de la organización es un aspecto crucial en la implementación y mantenimiento de un sistema de gestión de la seguridad de la información (SGSI) conforme a la norma ISO 27001:2022. Comprender el contexto en el que opera la organización permite identificar y gestionar eficazmente los riesgos y oportunidades relacionados con la seguridad de la información.</t>
  </si>
  <si>
    <r>
      <t xml:space="preserve">1.1 Entender la organización y su contexto: </t>
    </r>
    <r>
      <rPr>
        <sz val="11"/>
        <color rgb="FF0E1D2C"/>
        <rFont val="Arial"/>
        <family val="2"/>
      </rPr>
      <t>Para establecer un SGSI efectivo, la organización debe identificar los problemas externos e internos que son relevantes para su propósito y que pueden afectar su capacidad para lograr los resultados esperados. Esto implica un análisis profundo de factores como el entorno económico, social, tecnológico, ambiental, legal y cultural en el que opera la organización.</t>
    </r>
  </si>
  <si>
    <r>
      <t xml:space="preserve">1.2. Comprender las necesidades y expectativas de las partes interesadas: </t>
    </r>
    <r>
      <rPr>
        <sz val="11"/>
        <color rgb="FF0E1D2C"/>
        <rFont val="Arial"/>
        <family val="2"/>
      </rPr>
      <t xml:space="preserve">La organización debe determinar las partes interesadas que son relevantes para su SGSI, así como sus requisitos. Esto incluye no solo los requisitos legales y reglamentarios, sino también las expectativas y necesidades de clientes, proveedores, empleados y otras partes interesadas. </t>
    </r>
  </si>
  <si>
    <r>
      <t xml:space="preserve">1.4. Sistema de Gestión de Seguridad de la Información: </t>
    </r>
    <r>
      <rPr>
        <sz val="11"/>
        <color rgb="FF0E1D2C"/>
        <rFont val="Arial"/>
        <family val="2"/>
      </rPr>
      <t>Una vez definido el contexto y el alcance, la organización debe establecer, implementar, mantener y mejorar continuamente un SGSI que incluya los procesos necesarios y sus interacciones. Esto garantiza que el SGSI esté plenamente integrado en las operaciones de la organización y que pueda adaptarse a los cambios en el contexto interno y externo.</t>
    </r>
  </si>
  <si>
    <t>El liderazgo es un componente esencial para el éxito de un sistema de gestión de la seguridad de la información (SGSI) según la norma ISO 27001:2022. La alta dirección tiene la responsabilidad de establecer una visión clara y un compromiso firme con la seguridad de la información, asegurando que esté integrada en todos los niveles de la organización.</t>
  </si>
  <si>
    <t>CHECKLIST ISO 27001 - CONTEXTO DE LA ORGANIZACIÓN</t>
  </si>
  <si>
    <t>CHECKLIST ISO 27001 - LIDERAZGO</t>
  </si>
  <si>
    <r>
      <t xml:space="preserve">2.1 Liderazgo y compromiso: </t>
    </r>
    <r>
      <rPr>
        <sz val="11"/>
        <color rgb="FF0E1D2C"/>
        <rFont val="Arial"/>
        <family val="2"/>
      </rPr>
      <t>La alta dirección debe demostrar liderazgo y compromiso con respecto al SGSI mediante diversas acciones. Estas incluyen garantizar que la política de seguridad de la información y los objetivos asociados estén alineados con la dirección estratégica de la organización, y que los requisitos del SGSI se integren en los procesos de la organización.</t>
    </r>
  </si>
  <si>
    <r>
      <t xml:space="preserve">2.2 Política: </t>
    </r>
    <r>
      <rPr>
        <sz val="11"/>
        <color rgb="FF0E1D2C"/>
        <rFont val="Arial"/>
        <family val="2"/>
      </rPr>
      <t xml:space="preserve">La alta dirección debe establecer una política de seguridad de la información que sea apropiada para el propósito de la organización y que incluya objetivos claros. Esta política debe reflejar el compromiso de la organización de cumplir con los requisitos aplicables y de mejorar continuamente el SGSI. </t>
    </r>
  </si>
  <si>
    <r>
      <t xml:space="preserve">2.3 Funciones, responsabilidades y autoridades de la organización: </t>
    </r>
    <r>
      <rPr>
        <sz val="11"/>
        <color rgb="FF0E1D2C"/>
        <rFont val="Arial"/>
        <family val="2"/>
      </rPr>
      <t xml:space="preserve">La alta dirección debe asegurarse de que las responsabilidades y autoridades para los roles relevantes en la seguridad de la información se asignen y comuniquen claramente dentro de la organización. Esto incluye asignar la responsabilidad y autoridad para garantizar que el SGSI cumpla con los requisitos de la norma ISO 27001 y para informar sobre el desempeño del SGSI a la alta dirección. </t>
    </r>
  </si>
  <si>
    <t>CHECKLIST ISO 27001 - PLANIFICACIÓN</t>
  </si>
  <si>
    <t>La planificación es un componente crítico del sistema de gestión de la seguridad de la información (SGSI) según la norma ISO 27001:2022. Un enfoque sistemático de la planificación asegura que los riesgos y oportunidades relacionados con la seguridad de la información sean identificados y gestionados adecuadamente. Esto permite a la organización establecer objetivos claros y formular estrategias para alcanzarlos, garantizando así la protección continua de la información.</t>
  </si>
  <si>
    <r>
      <t xml:space="preserve">3.1. Acciones para abordar riesgos y oportunidades: </t>
    </r>
    <r>
      <rPr>
        <sz val="11"/>
        <color rgb="FF0E1D2C"/>
        <rFont val="Arial"/>
        <family val="2"/>
      </rPr>
      <t xml:space="preserve">La organización debe planificar las acciones necesarias para abordar los riesgos y oportunidades que pueden afectar la capacidad del SGSI para lograr los resultados previstos. Esto incluye garantizar que el SGSI pueda alcanzar sus objetivos, prevenir o reducir efectos no deseados y fomentar la mejora continua. La planificación debe integrar estas acciones en los procesos del SGSI y evaluar su efectividad. </t>
    </r>
  </si>
  <si>
    <r>
      <t xml:space="preserve">3.2 Objetivos de Seguridad de la Información y planificación para alcanzarlos: </t>
    </r>
    <r>
      <rPr>
        <sz val="11"/>
        <color rgb="FF0E1D2C"/>
        <rFont val="Arial"/>
        <family val="2"/>
      </rPr>
      <t xml:space="preserve">La organización debe establecer objetivos de seguridad de la información en las funciones y niveles pertinentes. Estos objetivos deben ser coherentes con la política de seguridad de la información, medibles, monitoreados, comunicados y actualizados según corresponda. La planificación para alcanzar estos objetivos debe incluir la determinación de las acciones necesarias, los recursos requeridos, las responsabilidades asignadas, los plazos y los métodos para evaluar los resultados. </t>
    </r>
  </si>
  <si>
    <t>El soporte es un pilar fundamental para la implementación y mantenimiento eficaz de un sistema de gestión de la seguridad de la información (SGSI) según la norma ISO 27001:2022. Este aspecto abarca todos los recursos necesarios, desde la competencia del personal hasta la gestión de la información documentada, asegurando que el SGSI funcione de manera eficiente y alcance sus objetivos de protección de la información.</t>
  </si>
  <si>
    <t>CHECKLIST ISO 27001 - SOPORTE</t>
  </si>
  <si>
    <r>
      <t xml:space="preserve">4.1 Recursos: </t>
    </r>
    <r>
      <rPr>
        <sz val="11"/>
        <color rgb="FF0E1D2C"/>
        <rFont val="Arial"/>
        <family val="2"/>
      </rPr>
      <t xml:space="preserve">Para que el SGSI sea efectivo, la organización debe determinar y proporcionar los recursos necesarios para su establecimiento, implementación, mantenimiento y mejora continua. Estos recursos incluyen personal, infraestructura, entorno de trabajo, recursos financieros y tecnológicos. </t>
    </r>
  </si>
  <si>
    <r>
      <t>4.3. Conciencia:</t>
    </r>
    <r>
      <rPr>
        <sz val="11"/>
        <color rgb="FF0E1D2C"/>
        <rFont val="Arial"/>
        <family val="2"/>
      </rPr>
      <t xml:space="preserve"> El personal que realiza trabajos bajo el control de la organización debe ser consciente de la política de seguridad de la información, su contribución a la eficacia del SGSI y las implicaciones de no cumplir con los requisitos del SGSI. Asegurar la conciencia del personal es crucial para crear una cultura de seguridad de la información en toda la organización, donde cada individuo entiende su papel y responsabilidad en la protección de la información.</t>
    </r>
  </si>
  <si>
    <r>
      <t xml:space="preserve">4.4. Comunicación: </t>
    </r>
    <r>
      <rPr>
        <sz val="11"/>
        <color rgb="FF0E1D2C"/>
        <rFont val="Arial"/>
        <family val="2"/>
      </rPr>
      <t>La organización debe determinar la necesidad de comunicaciones internas y externas relevantes para el SGSI. Esto incluye decidir sobre qué comunicar, cuándo comunicar, con quién comunicarse y cómo comunicarse. La comunicación efectiva asegura que todos los interesados, tanto internos como externos, estén informados sobre los aspectos relevantes de la seguridad de la información, facilitando la cooperación y la alineación de objetivos.</t>
    </r>
  </si>
  <si>
    <r>
      <t xml:space="preserve">4.5. Información documentada: </t>
    </r>
    <r>
      <rPr>
        <sz val="11"/>
        <color rgb="FF0E1D2C"/>
        <rFont val="Arial"/>
        <family val="2"/>
      </rPr>
      <t xml:space="preserve">La gestión de la información documentada es un componente clave del SGSI. La organización debe garantizar que se mantenga la información documentada requerida por la norma ISO 27001 y cualquier información adicional que la organización considere necesaria para la eficacia del SGSI. Esto incluye la creación y actualización de documentos, asegurando su identificación, formato y revisión adecuados. </t>
    </r>
  </si>
  <si>
    <t>CHECKLIST ISO 27001 - OPERACIÓN</t>
  </si>
  <si>
    <t xml:space="preserve">La operación es un aspecto crucial en la implementación y mantenimiento de un sistema de gestión de la seguridad de la información (SGSI) conforme a la norma ISO 27001:2022. Este aspecto se enfoca en la planificación, ejecución y control de los procesos necesarios para asegurar que se cumplan los requisitos de seguridad de la información y que las acciones planificadas se implementen de manera efectiva. </t>
  </si>
  <si>
    <r>
      <t xml:space="preserve">5.2 Evaluación de riesgos de Seguridad de la Información: </t>
    </r>
    <r>
      <rPr>
        <sz val="11"/>
        <color rgb="FF0E1D2C"/>
        <rFont val="Arial"/>
        <family val="2"/>
      </rPr>
      <t>La organización debe realizar evaluaciones de riesgos de seguridad de la información a intervalos planificados o cuando se proponen o ocurren cambios significativos. Estas evaluaciones deben basarse en los criterios establecidos y documentarse adecuadamente. La evaluación regular de los riesgos permite a la organización identificar y mitigar nuevas amenazas de manera oportuna, manteniendo la integridad, confidencialidad y disponibilidad de la información.</t>
    </r>
  </si>
  <si>
    <r>
      <t>5.1 Planificación y control operativo:</t>
    </r>
    <r>
      <rPr>
        <sz val="11"/>
        <color rgb="FF0E1D2C"/>
        <rFont val="Arial"/>
        <family val="2"/>
      </rPr>
      <t xml:space="preserve"> Para cumplir con los requisitos del SGSI y ejecutar las acciones determinadas, la organización debe planificar, implementar y controlar los procesos necesarios. Esto implica establecer criterios para los procesos y asegurar que estos se lleven a cabo de acuerdo con los criterios establecidos. Además, la organización debe gestionar los cambios planificados y revisar las consecuencias de los cambios no deseados, tomando medidas para mitigar cualquier efecto adverso. </t>
    </r>
  </si>
  <si>
    <r>
      <t xml:space="preserve">5.3 Tratamiento de riesgos de Seguridad de la Información: </t>
    </r>
    <r>
      <rPr>
        <sz val="11"/>
        <color rgb="FF0E1D2C"/>
        <rFont val="Arial"/>
        <family val="2"/>
      </rPr>
      <t>Implementar el plan de tratamiento de riesgos es fundamental para gestionar eficazmente los riesgos identificados. La organización debe asegurarse de que las acciones de tratamiento de riesgos se lleven a cabo y que se conserven registros documentados de los resultados. Este proceso implica seleccionar las medidas de control adecuadas para mitigar los riesgos y asegurar que estas se implementen de manera efectiva.</t>
    </r>
  </si>
  <si>
    <t>CHECKLIST ISO 27001 - EVALUACIÓN DEL DESEMPEÑO</t>
  </si>
  <si>
    <t>La evaluación del desempeño es un aspecto esencial para garantizar la eficacia continua de un sistema de gestión de la seguridad de la información (SGSI) según la norma ISO 27001:2022. Este aspecto se centra en el monitoreo, la medición, el análisis y la evaluación de los procesos y controles de seguridad de la información para asegurar que cumplan con los objetivos establecidos y se mantengan alineados con las necesidades y expectativas de la organización y sus partes interesadas.</t>
  </si>
  <si>
    <r>
      <t xml:space="preserve">6.1 Seguimiento, medición, análisis y evaluación: </t>
    </r>
    <r>
      <rPr>
        <sz val="11"/>
        <color rgb="FF0E1D2C"/>
        <rFont val="Arial"/>
        <family val="2"/>
      </rPr>
      <t>Para evaluar eficazmente el desempeño del SGSI, la organización debe determinar qué debe monitorearse y medirse, incluidos los procesos y controles de seguridad de la información. Esto implica definir métodos válidos y consistentes para el seguimiento y la medición, así como determinar cuándo y quién debe realizar estas actividades.</t>
    </r>
  </si>
  <si>
    <r>
      <t xml:space="preserve">6.2 Auditoría Interna: </t>
    </r>
    <r>
      <rPr>
        <sz val="11"/>
        <color rgb="FF0E1D2C"/>
        <rFont val="Arial"/>
        <family val="2"/>
      </rPr>
      <t>Las auditorías internas son fundamentales para proporcionar información sobre la conformidad del SGSI con los requisitos internos y los de la norma ISO 27001. La organización debe realizar auditorías internas a intervalos planificados, asegurándose de que estas auditorías sean objetivas e imparciales. Un programa de auditoría interna bien establecido incluye la definición de criterios y alcance, la selección de auditores y la planificación de las auditorías. Los resultados de las auditorías deben ser documentados y comunicados a la dirección pertinente para facilitar la toma de decisiones informadas y la implementación de acciones correctivas cuando sea necesario.</t>
    </r>
  </si>
  <si>
    <r>
      <t xml:space="preserve">6.3 Revisión por la Dirección: </t>
    </r>
    <r>
      <rPr>
        <sz val="11"/>
        <color rgb="FF0E1D2C"/>
        <rFont val="Arial"/>
        <family val="2"/>
      </rPr>
      <t xml:space="preserve">La revisión por la dirección es un proceso clave para asegurar la idoneidad, adecuación y eficacia continuas del SGSI. La alta dirección debe revisar el SGSI a intervalos planificados, considerando diversas entradas, como el estado de las acciones de revisiones anteriores, cambios en el contexto interno y externo, retroalimentación sobre el desempeño de la seguridad de la información y resultados de auditorías. Los resultados de esta revisión deben incluir decisiones sobre oportunidades de mejora continua y cualquier necesidad de cambios en el SGSI. </t>
    </r>
  </si>
  <si>
    <t>CHECKLIST ISO 27001 - MEJORA</t>
  </si>
  <si>
    <t>El aspecto de mejora es fundamental para mantener y aumentar la eficacia de un sistema de gestión de la seguridad de la información (SGSI) conforme a la norma ISO 27001:2022. La mejora continua asegura que el SGSI evolucione con el tiempo, adaptándose a nuevos desafíos y oportunidades, y alineándose constantemente con los objetivos estratégicos de la organización. Este enfoque proactivo permite a la organización responder eficazmente a incidentes de seguridad, prevenir recurrencias y fomentar una cultura de mejora constante.</t>
  </si>
  <si>
    <r>
      <t xml:space="preserve">7.1 Mejora continua: </t>
    </r>
    <r>
      <rPr>
        <sz val="11"/>
        <color rgb="FF0E1D2C"/>
        <rFont val="Arial"/>
        <family val="2"/>
      </rPr>
      <t xml:space="preserve">La organización debe comprometerse a mejorar continuamente la idoneidad, adecuación y eficacia del SGSI. Esto implica un enfoque sistemático para identificar oportunidades de mejora en todos los aspectos del SGSI, desde los procesos y controles hasta la cultura organizacional. La mejora continua no solo abarca la corrección de problemas identificados, sino también la búsqueda de maneras innovadoras para optimizar la seguridad de la información. </t>
    </r>
  </si>
  <si>
    <r>
      <t xml:space="preserve">7.2 No conformidad y acción correctiva: </t>
    </r>
    <r>
      <rPr>
        <sz val="11"/>
        <color rgb="FF0E1D2C"/>
        <rFont val="Arial"/>
        <family val="2"/>
      </rPr>
      <t xml:space="preserve">Cuando ocurre una no conformidad, la organización debe reaccionar de manera adecuada y tomar medidas para controlar y corregir la situación. Esto incluye evaluar la necesidad de acciones para eliminar las causas de la no conformidad y prevenir su recurrencia, tanto en el mismo lugar como en otros posibles puntos de falla. </t>
    </r>
  </si>
  <si>
    <t>CONTEXTO DE LA ORGANIZACIÓN</t>
  </si>
  <si>
    <t>LIDERAZGO</t>
  </si>
  <si>
    <t>PLANIFICACIÓN</t>
  </si>
  <si>
    <t>4.</t>
  </si>
  <si>
    <t>SOPORTE</t>
  </si>
  <si>
    <t>4.1</t>
  </si>
  <si>
    <t>4.2</t>
  </si>
  <si>
    <t>4.3</t>
  </si>
  <si>
    <t>4.4</t>
  </si>
  <si>
    <t>4.5</t>
  </si>
  <si>
    <t>5.</t>
  </si>
  <si>
    <t>OPERACIÓN</t>
  </si>
  <si>
    <t>5.1</t>
  </si>
  <si>
    <t>5.2</t>
  </si>
  <si>
    <t>5.3</t>
  </si>
  <si>
    <t>6.</t>
  </si>
  <si>
    <t>EVALUACIÓN DEL DESEMPEÑO</t>
  </si>
  <si>
    <t>6.1</t>
  </si>
  <si>
    <t>6.2</t>
  </si>
  <si>
    <t>6.3</t>
  </si>
  <si>
    <t>7.</t>
  </si>
  <si>
    <t>MEJORA</t>
  </si>
  <si>
    <t>7.1</t>
  </si>
  <si>
    <t>7.2</t>
  </si>
  <si>
    <t>Entender la organización y su contexto</t>
  </si>
  <si>
    <t>Comprender las necesidades y expectativas de las partes interesadas</t>
  </si>
  <si>
    <t xml:space="preserve"> Sistema de gestión de seguridad de la información</t>
  </si>
  <si>
    <t>Contexto de la organización</t>
  </si>
  <si>
    <t>Política</t>
  </si>
  <si>
    <t>Funciones, responsabilidades y autoridades de la organización</t>
  </si>
  <si>
    <t>Planificación</t>
  </si>
  <si>
    <t>Evaluación de riesgos de Seguridad de la Información</t>
  </si>
  <si>
    <t>Acciones para abordar riesgos y oportunidades</t>
  </si>
  <si>
    <t>Tratamiento de riesgos de Seguridad de la Información</t>
  </si>
  <si>
    <t>Objetivos de Seguridad de la Información y planificación para alcanzarlos</t>
  </si>
  <si>
    <t>Soporte</t>
  </si>
  <si>
    <t>Recursos</t>
  </si>
  <si>
    <t>Competencia</t>
  </si>
  <si>
    <t>Conciencia</t>
  </si>
  <si>
    <t>Comunicación</t>
  </si>
  <si>
    <t>Operación</t>
  </si>
  <si>
    <t>Planificación y control operativo</t>
  </si>
  <si>
    <t>Seguimiento, medición, análisis y evaluación</t>
  </si>
  <si>
    <t>Revisión por la dirección</t>
  </si>
  <si>
    <t>Mejora</t>
  </si>
  <si>
    <t>No conformidad y acción correctiva</t>
  </si>
  <si>
    <t>Liderazgo</t>
  </si>
  <si>
    <t>Sistema de gestión de seguridad de la información</t>
  </si>
  <si>
    <t>Información documentada</t>
  </si>
  <si>
    <t>Auditoría Interna</t>
  </si>
  <si>
    <t>Determinación del alcance del sistema de gestión de seguridad de la información</t>
  </si>
  <si>
    <t>Evaluación de desempeño</t>
  </si>
  <si>
    <t>RESUMEN DE RESULTADOS ASPECTOS DEL SISTEMA DE GESTIÓN DE RIESGOS Y SEGURIDAD</t>
  </si>
  <si>
    <t>En el siguiente cuadro podrá personalizar los niveles, de manera determinada visualizará del 0 al 4, y la descripción y definición correspondiente, podrá realizar la modificación de la columna de "Descripción" a adjetivos relacionados a su organización, como por ejemplo, "gestionado" por "administrado", etc.</t>
  </si>
  <si>
    <t>1. Checklist - Contexto, liderazgo, planificación, soporte, operación, evaluación y mejora</t>
  </si>
  <si>
    <t>ÍNDICE DE MADUREZ DE LA NORMA ISO 27001:2022</t>
  </si>
  <si>
    <r>
      <rPr>
        <b/>
        <sz val="11"/>
        <color theme="1"/>
        <rFont val="Arial"/>
        <family val="2"/>
      </rPr>
      <t xml:space="preserve">1. Aspectos: </t>
    </r>
    <r>
      <rPr>
        <sz val="11"/>
        <color theme="1"/>
        <rFont val="Arial"/>
        <family val="2"/>
      </rPr>
      <t>En esta columna visualizará el listado de los aspectos a tener en cuenta según la ISO 27001:2022</t>
    </r>
  </si>
  <si>
    <t>En la última pestaña de este documento, visualizará de manera gráfica el estado actual del sistema de gestión del riesgo y seguridad en la organización, según la norma ISO 27001:2022. Esta hoja tiene como objetivo proporcionar una representación visual clara y comprensible de los resultados de la evaluación, destacando las áreas de fortaleza y las oportunidades de mejora. A través de gráficos y diagrama de telaraña, los usuarios pueden identificar rápidamente el nivel de madurez en diferentes aspectos de la gestión del riesgo, facilitando la comunicación de los resultados a las partes interesadas y apoyando la toma de decisiones estratégicas para avanzar hacia niveles superiores de madurez.</t>
  </si>
  <si>
    <t>visualizará el estado actual de los aspectos a evaluar según la norma ISO 27001:2022, de manera predeterminada el nivel óptimo es de 4.</t>
  </si>
  <si>
    <t>visualizará el nivel óptimo, de manera predeterminada, es de 4.</t>
  </si>
  <si>
    <t>El objetivo de la matriz es proporcionar una visión consolidada del estado actual del sistema de gestión de la seguridad de la información (SGSI) en la organización, permitiendo evaluar de manera integral el contexto de la organización, el liderazgo, la planificación, el soporte, la oparación y evaluación, y la mejora del Sistema de gestión del riesgo y seguridad según la norma ISO 27001:2022. Esta hoja tiene como objetivo resumir los resultados de las evaluaciones individuales, una valoración global y recomendaciones a tener en cuenta para alcanzar el siguiente nivel y así facilitar la toma de decisiones estratégicas para mejorar la gestión del riesgo en la organización.</t>
  </si>
  <si>
    <r>
      <t xml:space="preserve">1.3. Determinación del alcance del Sistema de Gestión de Seguridad de la Información: </t>
    </r>
    <r>
      <rPr>
        <sz val="11"/>
        <color rgb="FF0E1D2C"/>
        <rFont val="Arial"/>
        <family val="2"/>
      </rPr>
      <t>Definir claramente el alcance del SGSI es fundamental para su eficacia. La organización debe determinar los límites y la aplicabilidad del SGSI, considerando los factores internos y externos identificados así como los requisitos de las partes interesadas.</t>
    </r>
  </si>
  <si>
    <r>
      <t xml:space="preserve">4.2. Competencia: </t>
    </r>
    <r>
      <rPr>
        <sz val="11"/>
        <color rgb="FF0E1D2C"/>
        <rFont val="Arial"/>
        <family val="2"/>
      </rPr>
      <t xml:space="preserve">La organización debe identificar la competencia necesaria para las personas que realizan trabajos bajo su control que afectan el desempeño de la seguridad de la información. Esto implica garantizar que estas personas sean competentes con base a una educación, formación o experiencia adecuada. Además, la organización debe tomar acciones para adquirir la competencia necesaria y evaluar la efectividad de estas acciones. </t>
    </r>
  </si>
  <si>
    <t>No se realizan esfuerzos documentados para comprender el contexto organizacional.</t>
  </si>
  <si>
    <t>Las actividades se llevan a cabo sin un enfoque estructurado y carecen de documentación formal.</t>
  </si>
  <si>
    <t>Falta de documentación. Acciones reactivas. No hay evaluación del contexto externo o interno.</t>
  </si>
  <si>
    <t>Iniciar la identificación y documentación de los problemas externos e internos relevantes. Establecer un enfoque básico para evaluar el contexto organizacional de manera regular.</t>
  </si>
  <si>
    <t>Los procesos básicos están documentados, pero su aplicación es irregular y depende de individuos clave.</t>
  </si>
  <si>
    <t>Existen esfuerzos por documentar los procesos, pero la implementación es inconsistente y no sistemática.</t>
  </si>
  <si>
    <t>Documentación básica. Implementación inconsistente. Dependencia de individuos específicos para la evaluación del contexto.</t>
  </si>
  <si>
    <t>Desarrollar un marco de trabajo más estructurado para evaluar el contexto organizacional. Capacitar a más empleados en los procedimientos y asegurar la consistencia en la aplicación de los procesos documentados.</t>
  </si>
  <si>
    <t>Se utilizan metodologías estandarizadas y los procesos están documentados y definidos.</t>
  </si>
  <si>
    <t>Los procesos están bien documentados y se siguen metodologías estándar, con un nivel básico de control y supervisión.</t>
  </si>
  <si>
    <t>Documentación clara y definida. Uso de metodologías estándar. Evaluación regular del contexto organizacional.</t>
  </si>
  <si>
    <t>Integrar completamente los procesos de evaluación del contexto en las operaciones diarias. Implementar controles y supervisión más rigurosos y regulares, utilizando métricas específicas para evaluar la efectividad.</t>
  </si>
  <si>
    <t>El contexto organizacional se integra en los procesos, con controles y supervisión regulares mediante KPIs.</t>
  </si>
  <si>
    <t>La evaluación del contexto está integrada en los procesos organizacionales, con monitoreo continuo y uso de métricas y KPIs para asegurar la efectividad y mejora.</t>
  </si>
  <si>
    <t>Integración completa en los procesos de la organización. Control y supervisión continuos. Uso de métricas y KPIs para la evaluación y mejora continua.</t>
  </si>
  <si>
    <t>Mantener la mejora continua y revisar regularmente los KPIs para adaptarse a los cambios en el contexto organizacional. Asegurar que todos los niveles de la organización estén alineados y comprometidos con la evaluación del contexto.</t>
  </si>
  <si>
    <t>No existe un SGSI documentado; las acciones son reactivas y no estructuradas.</t>
  </si>
  <si>
    <t>Las actividades relacionadas con el SGSI son ad-hoc y no documentadas, resultando en una gestión desorganizada y reactiva.</t>
  </si>
  <si>
    <t>Ausencia de documentación del SGSI. Actividades reactivas y no estructuradas. Falta de dirección clara en la gestión de la seguridad de la información.</t>
  </si>
  <si>
    <t>Comenzar a documentar los procesos y actividades del SGSI. Establecer un enfoque básico y sistemático para la gestión de la seguridad de la información, incluyendo la identificación de riesgos y controles necesarios.</t>
  </si>
  <si>
    <t>El SGSI está documentado, pero su aplicación es inconsistente y varía según el individuo.</t>
  </si>
  <si>
    <t>Existen esfuerzos por documentar el SGSI, pero la implementación es inconsistente y depende en gran medida de individuos específicos para su aplicación efectiva.</t>
  </si>
  <si>
    <t>Documentación básica del SGSI. Implementación irregular y dependiente de individuos específicos. Esfuerzos iniciales por formalizar el SGSI.</t>
  </si>
  <si>
    <t>Desarrollar un marco más estructurado y consistente para la implementación del SGSI. Capacitar a más empleados en estos procedimientos y asegurar la consistencia en la aplicación de los procesos documentados.</t>
  </si>
  <si>
    <t>SGSI bien definido y documentado, con control y supervisión básica siguiendo metodologías estándar.</t>
  </si>
  <si>
    <t>La documentación y definición del SGSI es clara, siguiendo metodologías estándar con un nivel básico de control y supervisión para asegurar la efectividad.</t>
  </si>
  <si>
    <t>SGSI bien definido y documentado. Uso de metodologías estándar. Control y supervisión básica del SGSI.</t>
  </si>
  <si>
    <t>Integrar completamente el SGSI en las operaciones diarias de la organización. Implementar controles y supervisión regulares, utilizando métricas específicas para evaluar la efectividad del SGSI y su alineación con los objetivos organizacionales.</t>
  </si>
  <si>
    <t>El SGSI está completamente integrado en los procesos, con controles, supervisión regular y evaluación con KPIs.</t>
  </si>
  <si>
    <t>La gestión del SGSI está integrada en los procesos organizacionales, con monitoreo continuo y uso de métricas y KPIs para asegurar la efectividad y mejora continua.</t>
  </si>
  <si>
    <t>Integración completa del SGSI en los procesos de la organización. Control y supervisión continuos. Uso de métricas y KPIs para la evaluación y mejora continua del SGSI.</t>
  </si>
  <si>
    <t>Mantener la mejora continua y revisar regularmente los KPIs para adaptarse a los cambios en la seguridad de la información. Asegurar que todos los niveles de la organización estén alineados y comprometidos con el SGSI.</t>
  </si>
  <si>
    <t>La alta dirección no demuestra un compromiso formalizado con el SGSI.</t>
  </si>
  <si>
    <t>No hay evidencia de un compromiso estructurado por parte de la alta dirección para apoyar y liderar el SGSI.</t>
  </si>
  <si>
    <t>Ausencia de compromiso formalizado. Falta de liderazgo claro en seguridad de la información. Actividades reactivas y no estructuradas.</t>
  </si>
  <si>
    <t>Establecer un compromiso formal de la alta dirección con el SGSI. Desarrollar y comunicar una visión clara para la seguridad de la información. Asegurar la participación activa de la alta dirección en las iniciativas de seguridad.</t>
  </si>
  <si>
    <t>La alta dirección muestra un compromiso básico y existen esfuerzos documentados, aunque irregulares.</t>
  </si>
  <si>
    <t>Existen esfuerzos documentados para demostrar el compromiso de la alta dirección, pero la aplicación es inconsistente.</t>
  </si>
  <si>
    <t>Compromiso básico documentado. Implementación irregular. Dependencia de individuos específicos para liderar las iniciativas de seguridad.</t>
  </si>
  <si>
    <t>Asegurar que el compromiso de la alta dirección sea consistente y visible. Involucrar a más miembros de la alta dirección en las actividades de seguridad y establecer métricas para medir su participación activa.</t>
  </si>
  <si>
    <t>El compromiso de la alta dirección está bien documentado y sigue metodologías estándar con control básico.</t>
  </si>
  <si>
    <t>La alta dirección demuestra un compromiso claro y documentado, siguiendo metodologías estándar y asegurando un nivel básico de control y supervisión.</t>
  </si>
  <si>
    <t>Compromiso claro y documentado. Uso de metodologías estándar. Control y supervisión básica del compromiso de la alta dirección.</t>
  </si>
  <si>
    <t>Integrar completamente el compromiso de la alta dirección en los procesos organizacionales. Establecer revisiones periódicas para evaluar el compromiso y la participación de la alta dirección en el SGSI.</t>
  </si>
  <si>
    <t>El compromiso de la alta dirección está completamente integrado, con supervisión regular y uso de métricas para evaluar su efectividad.</t>
  </si>
  <si>
    <t>La alta dirección está plenamente integrada en los procesos de seguridad, con monitoreo continuo y uso de métricas y KPIs para evaluar y mejorar su compromiso.</t>
  </si>
  <si>
    <t>Integración completa del compromiso de la alta dirección en los procesos. Supervisión y control regulares. Uso de métricas y KPIs para evaluar el compromiso.</t>
  </si>
  <si>
    <t>Mantener la mejora continua y revisar regularmente los KPIs para adaptarse a los cambios en el entorno de seguridad. Asegurar que todos los niveles de la alta dirección estén alineados y comprometidos con el SGSI.</t>
  </si>
  <si>
    <t>No se ha establecido una política de seguridad de la información formalizada.</t>
  </si>
  <si>
    <t>Las actividades de seguridad se realizan sin una política definida, resultando en una falta de dirección clara y coherencia en las acciones de seguridad.</t>
  </si>
  <si>
    <t>Ausencia de política formal. Actividades de seguridad sin dirección clara. Falta de coherencia en las acciones de seguridad.</t>
  </si>
  <si>
    <t>Desarrollar y documentar una política de seguridad de la información. Asegurar que la política esté alineada con los objetivos organizacionales y sea comunicada a todos los empleados.</t>
  </si>
  <si>
    <t>Existe una política básica de seguridad de la información, pero su implementación es inconsistente.</t>
  </si>
  <si>
    <t>Se ha establecido una política de seguridad, pero la aplicación y el seguimiento son irregulares y dependen de individuos específicos.</t>
  </si>
  <si>
    <t>Política básica documentada. Implementación irregular. Dependencia de individuos específicos para aplicar y seguir la política.</t>
  </si>
  <si>
    <t>Revisar y mejorar la política de seguridad para asegurar su aplicación consistente. Establecer procedimientos claros y capacitar a los empleados en la implementación y seguimiento de la política.</t>
  </si>
  <si>
    <t>La política de seguridad está bien documentada y definida, siguiendo metodologías estándar con control y supervisión básicos.</t>
  </si>
  <si>
    <t>La política de seguridad está claramente documentada, siguiendo metodologías estándar, con un nivel básico de control y supervisión para asegurar su aplicación.</t>
  </si>
  <si>
    <t>Política bien definida y documentada. Uso de metodologías estándar. Control y supervisión básicos de la aplicación de la política.</t>
  </si>
  <si>
    <t>Integrar completamente la política de seguridad en los procesos organizacionales. Establecer revisiones periódicas para evaluar y actualizar la política, asegurando su alineación continua con los objetivos de seguridad y las necesidades organizacionales.</t>
  </si>
  <si>
    <t>La política de seguridad está completamente integrada en los procesos, con supervisión regular y uso de métricas para evaluar su efectividad.</t>
  </si>
  <si>
    <t>La política de seguridad está integrada en los procesos organizacionales, con monitoreo continuo y uso de métricas y KPIs para asegurar su efectividad y mejora.</t>
  </si>
  <si>
    <t>Integración completa de la política en los procesos. Supervisión y control regulares. Uso de métricas y KPIs para evaluar la efectividad de la política.</t>
  </si>
  <si>
    <t>Mantener la mejora continua y revisar regularmente los KPIs para adaptar la política a los cambios en el entorno de seguridad. Asegurar que todos los empleados comprendan y sigan la política de seguridad.</t>
  </si>
  <si>
    <t>No se han definido ni documentado las funciones, responsabilidades y autoridades relacionadas con la seguridad de la información.</t>
  </si>
  <si>
    <t>Las actividades se llevan a cabo sin roles y responsabilidades claramente definidos, lo que provoca confusión y falta de responsabilidad en las acciones de seguridad.</t>
  </si>
  <si>
    <t>Ausencia de roles y responsabilidades definidos. Actividades sin dirección clara. Falta de responsabilidad en las acciones de seguridad.</t>
  </si>
  <si>
    <t>Definir y documentar claramente las funciones, responsabilidades y autoridades relacionadas con la seguridad de la información. Comunicar estos roles a todos los empleados y asegurar su comprensión.</t>
  </si>
  <si>
    <t>Existen definiciones básicas de roles y responsabilidades, pero su implementación es inconsistente.</t>
  </si>
  <si>
    <t>Se han definido y documentado roles y responsabilidades básicas, pero su aplicación es irregular y depende de individuos específicos.</t>
  </si>
  <si>
    <t>Definición básica de roles y responsabilidades. Implementación irregular. Dependencia de individuos específicos para aplicar y seguir las definiciones.</t>
  </si>
  <si>
    <t>Revisar y mejorar la definición de roles y responsabilidades para asegurar su aplicación consistente. Establecer procedimientos claros y capacitar a los empleados en sus funciones y responsabilidades específicas.</t>
  </si>
  <si>
    <t>Las funciones, responsabilidades y autoridades están bien documentadas y definidas, siguiendo metodologías estándar con control básico.</t>
  </si>
  <si>
    <t>Las funciones y responsabilidades están claramente documentadas, siguiendo metodologías estándar, con un nivel básico de control y supervisión para asegurar su efectividad.</t>
  </si>
  <si>
    <t>Definición clara y documentada de roles y responsabilidades. Uso de metodologías estándar. Control y supervisión básica de la aplicación de las funciones.</t>
  </si>
  <si>
    <t>Integrar completamente las funciones, responsabilidades y autoridades en los procesos organizacionales. Establecer revisiones periódicas para evaluar y actualizar las definiciones, asegurando su alineación continua con los objetivos organizacionales.</t>
  </si>
  <si>
    <t>Las funciones, responsabilidades y autoridades están completamente integradas en los procesos, con supervisión regular y uso de métricas para evaluar su efectividad.</t>
  </si>
  <si>
    <t>Las funciones y responsabilidades están integradas en los procesos organizacionales, con monitoreo continuo y uso de métricas y KPIs para asegurar su efectividad y mejora continua.</t>
  </si>
  <si>
    <t>Integración completa de las funciones en los procesos. Supervisión y control regulares. Uso de métricas y KPIs para evaluar la efectividad de las funciones.</t>
  </si>
  <si>
    <t>Mantener la mejora continua y revisar regularmente los KPIs para adaptar las funciones, responsabilidades y autoridades a los cambios en el entorno organizacional. Asegurar que todos los empleados comprendan y sigan sus funciones y responsabilidades.</t>
  </si>
  <si>
    <t>No se toman acciones formales para abordar riesgos y oportunidades.</t>
  </si>
  <si>
    <t>Las acciones relacionadas con riesgos y oportunidades son ad-hoc y no estructuradas, sin documentación formal ni seguimiento sistemático.</t>
  </si>
  <si>
    <t>Ausencia de acciones formales. Actividades reactivas y no estructuradas. Falta de documentación y seguimiento.</t>
  </si>
  <si>
    <t>Identificar y documentar riesgos y oportunidades. Establecer un enfoque básico para evaluar y abordar riesgos y oportunidades de manera regular.</t>
  </si>
  <si>
    <t>Existen esfuerzos básicos documentados para abordar riesgos y oportunidades, pero su implementación es inconsistente.</t>
  </si>
  <si>
    <t>Se han documentado acciones para abordar riesgos y oportunidades, pero la implementación depende de individuos específicos y no es sistemática.</t>
  </si>
  <si>
    <t>Documentación básica de acciones. Implementación irregular. Dependencia de individuos específicos.</t>
  </si>
  <si>
    <t>Desarrollar un marco de trabajo más estructurado y consistente para abordar riesgos y oportunidades. Capacitar a más empleados en estos procedimientos.</t>
  </si>
  <si>
    <t>Las acciones para abordar riesgos y oportunidades están bien documentadas y siguen metodologías estándar con control básico.</t>
  </si>
  <si>
    <t>Las acciones están claramente documentadas, siguiendo metodologías estándar, con un nivel básico de control y supervisión para asegurar su efectividad.</t>
  </si>
  <si>
    <t>Documentación clara y definida de acciones. Uso de metodologías estándar. Control y supervisión básicos.</t>
  </si>
  <si>
    <t>Integrar completamente las acciones para abordar riesgos y oportunidades en los procesos organizacionales. Implementar controles y supervisión regulares.</t>
  </si>
  <si>
    <t>Las acciones para abordar riesgos y oportunidades están completamente integradas en los procesos, con supervisión regular y métricas de evaluación.</t>
  </si>
  <si>
    <t>Las acciones están integradas en los procesos organizacionales, con monitoreo continuo y uso de métricas y KPIs para asegurar la efectividad y mejora.</t>
  </si>
  <si>
    <t>Integración completa en los procesos. Supervisión y control regulares. Uso de métricas y KPIs para evaluar la efectividad de las acciones.</t>
  </si>
  <si>
    <t>Mantener la mejora continua y revisar regularmente los KPIs para adaptarse a los cambios en los riesgos y oportunidades. Asegurar que todos los niveles de la organización estén alineados y comprometidos con la gestión de riesgos y oportunidades.</t>
  </si>
  <si>
    <t>No se realizan evaluaciones formales de riesgos de seguridad de la información.</t>
  </si>
  <si>
    <t>Los procesos de evaluación de riesgos están bien documentados y definidos, siguiendo metodologías estándar con control básico.</t>
  </si>
  <si>
    <t>Los procesos de evaluación de riesgos están claramente documentados y definidos, siguiendo metodologías estándar, con un nivel básico de control y supervisión.</t>
  </si>
  <si>
    <t>Procesos bien documentados y definidos. Uso de metodologías estándar. Control y supervisión básicos.</t>
  </si>
  <si>
    <t>La evaluación de riesgos está completamente integrada en los procesos, con supervisión regular y uso de métricas para evaluar su efectividad.</t>
  </si>
  <si>
    <t>La evaluación de riesgos está integrada en los procesos organizacionales, con monitoreo continuo y uso de métricas y KPIs para asegurar la efectividad y mejora.</t>
  </si>
  <si>
    <t>Integración completa en los procesos. Supervisión y control regulares. Uso de métricas y KPIs para evaluar la efectividad de la evaluación de riesgos.</t>
  </si>
  <si>
    <t>Mantener la mejora continua y revisar regularmente los KPIs para adaptarse a los cambios en el entorno de riesgos. Asegurar que todos los niveles de la organización estén alineados y comprometidos con la evaluación de riesgos.</t>
  </si>
  <si>
    <t>No se han establecido ni documentado objetivos de seguridad de la información.</t>
  </si>
  <si>
    <t>Las actividades de seguridad se realizan sin objetivos claros, lo que resulta en una falta de dirección y coherencia en las acciones de seguridad.</t>
  </si>
  <si>
    <t>Ausencia de objetivos formales. Actividades de seguridad sin dirección clara. Falta de coherencia en las acciones de seguridad.</t>
  </si>
  <si>
    <t>Definir y documentar claramente los objetivos de seguridad de la información. Asegurar que los objetivos estén alineados con los objetivos organizacionales y sean comunicados a todos los empleados.</t>
  </si>
  <si>
    <t>Existen objetivos básicos de seguridad de la información, pero su implementación y seguimiento son inconsistentes.</t>
  </si>
  <si>
    <t>Se han establecido y documentado objetivos, pero la implementación y el seguimiento dependen de individuos específicos y no son sistemáticos.</t>
  </si>
  <si>
    <t>Objetivos básicos documentados. Implementación y seguimiento irregulares. Dependencia de individuos específicos.</t>
  </si>
  <si>
    <t>Revisar y mejorar los objetivos de seguridad para asegurar su aplicación consistente. Establecer procedimientos claros y capacitar a los empleados en la implementación y seguimiento de los objetivos.</t>
  </si>
  <si>
    <t>Los objetivos de seguridad están bien documentados y definidos, siguiendo metodologías estándar con control y supervisión básicos.</t>
  </si>
  <si>
    <t>Los objetivos de seguridad están claramente documentados y definidos, siguiendo metodologías estándar, con un nivel básico de control y supervisión para asegurar su efectividad.</t>
  </si>
  <si>
    <t>Objetivos bien definidos y documentados. Uso de metodologías estándar. Control y supervisión básicos.</t>
  </si>
  <si>
    <t>Integrar completamente los objetivos de seguridad en los procesos organizacionales. Establecer revisiones periódicas para evaluar y actualizar los objetivos, asegurando su alineación continua con los objetivos de seguridad y las necesidades organizacionales.</t>
  </si>
  <si>
    <t>Los objetivos de seguridad están completamente integrados en los procesos, con supervisión regular y uso de métricas para evaluar su efectividad.</t>
  </si>
  <si>
    <t>Los objetivos de seguridad están integrados en los procesos organizacionales, con monitoreo continuo y uso de métricas y KPIs para asegurar la efectividad y mejora.</t>
  </si>
  <si>
    <t>Integración completa de los objetivos en los procesos. Supervisión y control regulares. Uso de métricas y KPIs para evaluar la efectividad de los objetivos.</t>
  </si>
  <si>
    <t>Mantener la mejora continua y revisar regularmente los KPIs para adaptar los objetivos a los cambios en el entorno de seguridad. Asegurar que todos los empleados comprendan y trabajen hacia los objetivos de seguridad.</t>
  </si>
  <si>
    <t>No se asignan recursos específicos para la gestión de la seguridad de la información.</t>
  </si>
  <si>
    <t>Los recursos necesarios para la seguridad de la información no están definidos ni proporcionados, lo que resulta en una gestión ineficaz y reactiva.</t>
  </si>
  <si>
    <t>Falta de asignación de recursos. Actividades reactivas y no planificadas.</t>
  </si>
  <si>
    <t>Identificar y documentar los recursos necesarios para la seguridad de la información. Asegurar la provisión adecuada de estos recursos para todas las áreas relevantes.</t>
  </si>
  <si>
    <t>Se asignan recursos básicos, pero de manera inconsistente y dependiente de personas específicas.</t>
  </si>
  <si>
    <t>Hay esfuerzos por asignar recursos, pero estos son insuficientes y su asignación es irregular, dependiendo en gran medida de individuos específicos.</t>
  </si>
  <si>
    <t>Asignación básica e irregular de recursos. Dependencia de individuos específicos.</t>
  </si>
  <si>
    <t>Desarrollar un plan de recursos más estructurado y consistente. Asegurar que los recursos estén disponibles de manera regular y no dependan de individuos específicos.</t>
  </si>
  <si>
    <t>Los recursos están bien definidos y asignados, siguiendo metodologías estándar con control básico.</t>
  </si>
  <si>
    <t>Los recursos necesarios para la seguridad de la información están claramente definidos y asignados, siguiendo metodologías estándar, con un nivel básico de control.</t>
  </si>
  <si>
    <t>Definición clara y asignación de recursos. Uso de metodologías estándar. Control y supervisión básicos de la asignación de recursos.</t>
  </si>
  <si>
    <t>Integrar completamente la asignación de recursos en los procesos organizacionales. Establecer controles y supervisión regulares para asegurar la provisión continua de recursos adecuados.</t>
  </si>
  <si>
    <t>Los recursos están completamente integrados en los procesos, con supervisión regular y uso de métricas para evaluar su suficiencia.</t>
  </si>
  <si>
    <t>La asignación de recursos está completamente integrada en los procesos organizacionales, con monitoreo continuo y uso de métricas y KPIs para evaluar su efectividad.</t>
  </si>
  <si>
    <t>Integración completa de la asignación de recursos en los procesos. Supervisión y control regulares. Uso de métricas y KPIs para evaluar la suficiencia de los recursos.</t>
  </si>
  <si>
    <t>Mantener la mejora continua y revisar regularmente los KPIs para asegurar que los recursos se adapten a las necesidades cambiantes de la seguridad de la información.</t>
  </si>
  <si>
    <t>No se evalúa ni se asegura la competencia del personal en materia de seguridad de la información.</t>
  </si>
  <si>
    <t>No existen procedimientos formales para evaluar y asegurar la competencia del personal, resultando en una falta de habilidades adecuadas para la seguridad.</t>
  </si>
  <si>
    <t>Ausencia de evaluación de competencias. Falta de habilidades adecuadas en seguridad de la información.</t>
  </si>
  <si>
    <t>Definir y documentar los requisitos de competencia necesarios. Establecer procedimientos para evaluar y asegurar la competencia del personal en materia de seguridad de la información.</t>
  </si>
  <si>
    <t>Se realizan esfuerzos básicos para evaluar la competencia, pero de manera inconsistente y dependiente de individuos específicos.</t>
  </si>
  <si>
    <t>Hay intentos por asegurar la competencia del personal, pero estos esfuerzos son irregulares y dependen de individuos específicos.</t>
  </si>
  <si>
    <t>Evaluación básica e irregular de competencias. Dependencia de individuos específicos.</t>
  </si>
  <si>
    <t>Desarrollar un enfoque más estructurado y consistente para la evaluación y aseguramiento de competencias. Capacitar a más empleados en estos procedimientos.</t>
  </si>
  <si>
    <t>La competencia del personal está bien definida y evaluada, siguiendo metodologías estándar con control básico.</t>
  </si>
  <si>
    <t>Los requisitos de competencia están claramente definidos y se evalúan siguiendo metodologías estándar, con un nivel básico de control y supervisión.</t>
  </si>
  <si>
    <t>Definición clara y evaluación de competencias. Uso de metodologías estándar. Control y supervisión básicos de la competencia del personal.</t>
  </si>
  <si>
    <t>Integrar completamente los procesos de evaluación y aseguramiento de competencias en las operaciones diarias. Establecer controles y supervisión regulares.</t>
  </si>
  <si>
    <t>La competencia está completamente integrada en los procesos, con supervisión regular y uso de métricas para evaluar su efectividad.</t>
  </si>
  <si>
    <t>La competencia del personal está completamente integrada en los procesos organizacionales, con monitoreo continuo y uso de métricas y KPIs para asegurar la efectividad.</t>
  </si>
  <si>
    <t>Integración completa de la competencia en los procesos. Supervisión y control regulares. Uso de métricas y KPIs para evaluar la efectividad de la competencia.</t>
  </si>
  <si>
    <t>Mantener la mejora continua y revisar regularmente los KPIs para asegurar que las competencias se adapten a las necesidades cambiantes de la seguridad de la información.</t>
  </si>
  <si>
    <t>No se realizan actividades formales para concienciar al personal sobre la seguridad de la información.</t>
  </si>
  <si>
    <t>Las actividades de concienciación son esporádicas y no están documentadas, resultando en una falta de entendimiento y compromiso del personal con la seguridad.</t>
  </si>
  <si>
    <t>Ausencia de actividades formales de concienciación. Falta de entendimiento y compromiso del personal.</t>
  </si>
  <si>
    <t>Desarrollar y documentar un programa de concienciación sobre seguridad de la información. Asegurar que todos los empleados comprendan la importancia de la seguridad y sus responsabilidades.</t>
  </si>
  <si>
    <t>Se realizan esfuerzos básicos de concienciación, pero de manera inconsistente y dependiente de individuos específicos.</t>
  </si>
  <si>
    <t>Hay intentos por concienciar al personal sobre la seguridad, pero estos esfuerzos son irregulares y dependen de individuos específicos.</t>
  </si>
  <si>
    <t>Esfuerzos básicos e irregulares de concienciación. Dependencia de individuos específicos.</t>
  </si>
  <si>
    <t>Establecer un programa de concienciación más estructurado y consistente. Asegurar que la concienciación sea regular y no dependa de individuos específicos.</t>
  </si>
  <si>
    <t>La concienciación sobre seguridad está bien documentada y definida, siguiendo metodologías estándar con control básico.</t>
  </si>
  <si>
    <t>Las actividades de concienciación están claramente documentadas y definidas, siguiendo metodologías estándar, con un nivel básico de control y supervisión.</t>
  </si>
  <si>
    <t>Documentación y definición claras de las actividades de concienciación. Uso de metodologías estándar. Control y supervisión básicos de la concienciación.</t>
  </si>
  <si>
    <t>Integrar completamente las actividades de concienciación en los procesos organizacionales. Establecer controles y supervisión regulares para asegurar la efectividad de la concienciación.</t>
  </si>
  <si>
    <t>La concienciación está completamente integrada en los procesos, con supervisión regular y uso de métricas para evaluar su efectividad.</t>
  </si>
  <si>
    <t>La concienciación sobre seguridad está completamente integrada en los procesos organizacionales, con monitoreo continuo y uso de métricas y KPIs para asegurar la efectividad.</t>
  </si>
  <si>
    <t>Integración completa de la concienciación en los procesos. Supervisión y control regulares. Uso de métricas y KPIs para evaluar la efectividad de la concienciación.</t>
  </si>
  <si>
    <t>Mantener la mejora continua y revisar regularmente los KPIs para asegurar que la concienciación se adapte a las necesidades cambiantes de la seguridad de la información.</t>
  </si>
  <si>
    <t>No se establecen ni documentan procedimientos formales de comunicación sobre seguridad de la información.</t>
  </si>
  <si>
    <t>Las actividades de comunicación son ad-hoc y no están documentadas, lo que provoca una falta de coordinación y coherencia en la seguridad de la información.</t>
  </si>
  <si>
    <t>Ausencia de procedimientos formales de comunicación. Falta de coordinación y coherencia en las comunicaciones.</t>
  </si>
  <si>
    <t>Establecer y documentar procedimientos de comunicación sobre seguridad de la información. Asegurar que la información relevante se comunique de manera oportuna y efectiva.</t>
  </si>
  <si>
    <t>Existen procedimientos básicos de comunicación, pero su implementación es inconsistente y depende de individuos específicos.</t>
  </si>
  <si>
    <t>Se han establecido procedimientos para la comunicación, pero su implementación y seguimiento son irregulares y dependen de individuos específicos.</t>
  </si>
  <si>
    <t>Procedimientos básicos de comunicación. Implementación irregular. Dependencia de individuos específicos.</t>
  </si>
  <si>
    <t>Desarrollar un enfoque más estructurado y consistente para la comunicación sobre seguridad de la información. Capacitar a más empleados en estos procedimientos.</t>
  </si>
  <si>
    <t>Los procedimientos de comunicación están bien documentados y definidos, siguiendo metodologías estándar con control básico.</t>
  </si>
  <si>
    <t>Los procedimientos de comunicación están claramente documentados y definidos, siguiendo metodologías estándar, con un nivel básico de control y supervisión.</t>
  </si>
  <si>
    <t>Documentación y definición claras de los procedimientos de comunicación. Uso de metodologías estándar. Control y supervisión básicos de la comunicación.</t>
  </si>
  <si>
    <t>Integrar completamente los procedimientos de comunicación en los procesos organizacionales. Establecer controles y supervisión regulares para asegurar la efectividad de la comunicación.</t>
  </si>
  <si>
    <t>La comunicación está completamente integrada en los procesos, con supervisión regular y uso de métricas para evaluar su efectividad.</t>
  </si>
  <si>
    <t>La comunicación sobre seguridad está completamente integrada en los procesos organizacionales, con monitoreo continuo y uso de métricas y KPIs para asegurar la efectividad.</t>
  </si>
  <si>
    <t>Integración completa de la comunicación en los procesos. Supervisión y control regulares. Uso de métricas y KPIs para evaluar la efectividad de la comunicación.</t>
  </si>
  <si>
    <t>Mantener la mejora continua y revisar regularmente los KPIs para asegurar que la comunicación se adapte a las necesidades cambiantes de la seguridad de la información.</t>
  </si>
  <si>
    <t>No se gestiona ni se controla formalmente la información documentada.</t>
  </si>
  <si>
    <t>Las actividades de documentación son esporádicas y no están formalizadas, resultando en una falta de control y coherencia en la gestión de la información.</t>
  </si>
  <si>
    <t>Ausencia de gestión formal de la documentación. Falta de control y coherencia en la documentación.</t>
  </si>
  <si>
    <t>Establecer y documentar procedimientos para la gestión y control de la información. Asegurar que la documentación sea precisa, accesible y se mantenga actualizada.</t>
  </si>
  <si>
    <t>Existen esfuerzos básicos para gestionar la información documentada, pero de manera inconsistente y dependiente de individuos específicos.</t>
  </si>
  <si>
    <t>Se han establecido procedimientos básicos para la gestión de la información, pero su implementación es irregular y depende de individuos específicos.</t>
  </si>
  <si>
    <t>Esfuerzos básicos e irregulares de gestión de la información. Dependencia de individuos específicos.</t>
  </si>
  <si>
    <t>Desarrollar un enfoque más estructurado y consistente para la gestión de la información. Capacitar a más empleados en estos procedimientos y asegurar la consistencia en su aplicación.</t>
  </si>
  <si>
    <t>Los procedimientos para gestionar la información están bien documentados y definidos, siguiendo metodologías estándar con control básico.</t>
  </si>
  <si>
    <t>Los procedimientos para gestionar la información están claramente documentados y definidos, siguiendo metodologías estándar, con un nivel básico de control y supervisión.</t>
  </si>
  <si>
    <t>Documentación y definición claras de los procedimientos de gestión. Uso de metodologías estándar. Control y supervisión básicos de la documentación.</t>
  </si>
  <si>
    <t>Integrar completamente los procedimientos de gestión de la información en los procesos organizacionales. Establecer controles y supervisión regulares para asegurar la efectividad de la gestión.</t>
  </si>
  <si>
    <t>La gestión de la información está completamente integrada en los procesos, con supervisión regular y uso de métricas para evaluar su efectividad.</t>
  </si>
  <si>
    <t>La gestión de la información está completamente integrada en los procesos organizacionales, con monitoreo continuo y uso de métricas y KPIs para asegurar la efectividad.</t>
  </si>
  <si>
    <t>Integración completa de la gestión de la información en los procesos. Supervisión y control regulares. Uso de métricas y KPIs para evaluar la efectividad de la gestión de la información.</t>
  </si>
  <si>
    <t>Mantener la mejora continua y revisar regularmente los KPIs para asegurar que la gestión de la información se adapte a las necesidades cambiantes de la organización.</t>
  </si>
  <si>
    <t>No se planifican ni se controlan formalmente las operaciones relacionadas con la seguridad de la información.</t>
  </si>
  <si>
    <t>Las actividades operativas relacionadas con la seguridad son ad-hoc y no están documentadas, lo que resulta en una falta de coordinación y control.</t>
  </si>
  <si>
    <t>Falta de planificación y control formal. Actividades reactivas y no documentadas.</t>
  </si>
  <si>
    <t>Iniciar la planificación y documentación sistemática de las operaciones de seguridad de la información. Establecer un enfoque básico para el control operativo.</t>
  </si>
  <si>
    <t>Se realizan esfuerzos básicos para planificar y controlar las operaciones, pero de manera inconsistente y dependiente de individuos específicos.</t>
  </si>
  <si>
    <t>Se ha comenzado a planificar y controlar las operaciones, pero la implementación es irregular y depende en gran medida de individuos específicos.</t>
  </si>
  <si>
    <t>Planificación básica e irregular. Dependencia de individuos específicos para el control.</t>
  </si>
  <si>
    <t>Desarrollar un marco más estructurado y consistente para la planificación y control operativo. Capacitar a más empleados en estos procedimientos.</t>
  </si>
  <si>
    <t>La planificación y el control operativo están bien documentados y definidos, siguiendo metodologías estándar con control básico.</t>
  </si>
  <si>
    <t>Las operaciones están claramente planificadas y controladas, siguiendo metodologías estándar, con un nivel básico de supervisión y control para asegurar su efectividad.</t>
  </si>
  <si>
    <t>Documentación clara y definición de procedimientos operativos. Uso de metodologías estándar. Control y supervisión básicos.</t>
  </si>
  <si>
    <t>Integrar completamente la planificación y el control operativo en los procesos organizacionales. Implementar controles y supervisión regulares para asegurar la efectividad de las operaciones.</t>
  </si>
  <si>
    <t>La planificación y el control operativo están completamente integrados en los procesos, con supervisión regular y uso de métricas para evaluar su efectividad.</t>
  </si>
  <si>
    <t>La planificación y el control operativo están integrados en los procesos organizacionales, con monitoreo continuo y uso de métricas y KPIs para asegurar la efectividad y mejora.</t>
  </si>
  <si>
    <t>Integración completa de la planificación y el control operativo en los procesos. Supervisión y control regulares. Uso de métricas y KPIs para evaluar la efectividad operativa.</t>
  </si>
  <si>
    <t>Mantener la mejora continua y revisar regularmente los KPIs para adaptarse a los cambios en las operaciones. Asegurar que todos los niveles de la organización estén alineados y comprometidos con la planificación y el control operativo.</t>
  </si>
  <si>
    <t>Las evaluaciones de riesgos son esporádicas y no están documentadas, lo que resulta en una falta de identificación y evaluación sistemática de los riesgos.</t>
  </si>
  <si>
    <t>Ausencia de evaluaciones formales. Evaluaciones esporádicas y no documentadas. Falta de identificación sistemática de riesgos.</t>
  </si>
  <si>
    <t>Comenzar a identificar y documentar sistemáticamente los riesgos de seguridad de la información. Establecer un enfoque básico para la evaluación regular de riesgos.</t>
  </si>
  <si>
    <t>Se realizan esfuerzos básicos para evaluar los riesgos, pero de manera inconsistente y dependiente de individuos específicos.</t>
  </si>
  <si>
    <t>Se han comenzado a evaluar los riesgos, pero la implementación es irregular y depende de individuos específicos para su efectividad.</t>
  </si>
  <si>
    <t>Evaluación básica e irregular de riesgos. Dependencia de individuos específicos para la evaluación.</t>
  </si>
  <si>
    <t>Desarrollar un marco de trabajo más estructurado y consistente para la evaluación de riesgos. Capacitar a más empleados en estos procedimientos y asegurar la consistencia en la evaluación.</t>
  </si>
  <si>
    <t>Integrar completamente los procesos de evaluación de riesgos en las operaciones diarias de la organización. Implementar controles y supervisión regulares para asegurar la efectividad de la evaluación de riesgos.</t>
  </si>
  <si>
    <t>No se toman acciones formales para el tratamiento de riesgos de seguridad de la información.</t>
  </si>
  <si>
    <t>Las acciones relacionadas con el tratamiento de riesgos son ad-hoc y no están documentadas, resultando en una falta de mitigación sistemática de los riesgos.</t>
  </si>
  <si>
    <t>Ausencia de acciones formales. Actividades reactivas y no documentadas. Falta de proceso sistemático para mitigar riesgos.</t>
  </si>
  <si>
    <t>Iniciar la identificación y documentación sistemática de los riesgos de seguridad de la información. Establecer un enfoque básico para el tratamiento regular de riesgos.</t>
  </si>
  <si>
    <t>Se realizan esfuerzos básicos para tratar los riesgos, pero de manera inconsistente y dependiente de individuos específicos.</t>
  </si>
  <si>
    <t>Se han documentado acciones para el tratamiento de riesgos, pero la implementación es irregular y depende de individuos específicos para su efectividad.</t>
  </si>
  <si>
    <t>Tratamiento básico e irregular de riesgos. Dependencia de individuos específicos para la mitigación.</t>
  </si>
  <si>
    <t>Desarrollar un marco de trabajo más estructurado y consistente para el tratamiento de riesgos. Capacitar a más empleados en estos procedimientos y asegurar la consistencia en el tratamiento.</t>
  </si>
  <si>
    <t>Los procesos de tratamiento de riesgos están bien documentados y definidos, siguiendo metodologías estándar con control básico.</t>
  </si>
  <si>
    <t>Los procesos de tratamiento de riesgos están claramente documentados y definidos, siguiendo metodologías estándar, con un nivel básico de control y supervisión.</t>
  </si>
  <si>
    <t>Integrar completamente los procesos de tratamiento de riesgos en las operaciones diarias de la organización. Implementar controles y supervisión regulares para asegurar la efectividad del tratamiento de riesgos.</t>
  </si>
  <si>
    <t>El tratamiento de riesgos está completamente integrado en los procesos, con supervisión regular y uso de métricas para evaluar su efectividad.</t>
  </si>
  <si>
    <t>El tratamiento de riesgos está integrado en los procesos organizacionales, con monitoreo continuo y uso de métricas y KPIs para asegurar la efectividad y mejora.</t>
  </si>
  <si>
    <t>Integración completa en los procesos. Supervisión y control regulares. Uso de métricas y KPIs para evaluar la efectividad del tratamiento de riesgos.</t>
  </si>
  <si>
    <t>Mantener la mejora continua y revisar regularmente los KPIs para adaptarse a los cambios en el entorno de riesgos. Asegurar que todos los niveles de la organización estén alineados y comprometidos con el tratamiento de riesgos.</t>
  </si>
  <si>
    <t>No se realizan actividades formales de seguimiento, medición, análisis y evaluación.</t>
  </si>
  <si>
    <t>Las actividades son ad-hoc y no están documentadas, lo que resulta en una falta de datos precisos para la toma de decisiones sobre la seguridad de la información.</t>
  </si>
  <si>
    <t>Ausencia de actividades formales. Actividades reactivas y no documentadas. Falta de datos precisos.</t>
  </si>
  <si>
    <t>Establecer y documentar procedimientos formales para el seguimiento, medición, análisis y evaluación de la seguridad de la información.</t>
  </si>
  <si>
    <t>Se realizan esfuerzos básicos, pero de manera inconsistente y dependiente de individuos específicos.</t>
  </si>
  <si>
    <t>Existen esfuerzos para medir y evaluar, pero son irregulares y dependen de individuos específicos, lo que afecta la consistencia y precisión de los datos.</t>
  </si>
  <si>
    <t>Esfuerzos básicos e irregulares. Dependencia de individuos específicos.</t>
  </si>
  <si>
    <t>Desarrollar un enfoque más estructurado y consistente para estas actividades. Capacitar a más empleados y asegurar la regularidad y precisión en la recopilación de datos.</t>
  </si>
  <si>
    <t>Las actividades de seguimiento, medición, análisis y evaluación están bien documentadas y definidas, siguiendo metodologías estándar con control básico.</t>
  </si>
  <si>
    <t>Las actividades están claramente documentadas, siguiendo metodologías estándar, con un nivel básico de control y supervisión para asegurar la exactitud y utilidad de los datos.</t>
  </si>
  <si>
    <t>Documentación clara y definición de procedimientos. Uso de metodologías estándar. Control y supervisión básicos.</t>
  </si>
  <si>
    <t>Integrar completamente estas actividades en los procesos organizacionales. Implementar controles y supervisión regulares para asegurar la exactitud y utilidad de los datos recopilados.</t>
  </si>
  <si>
    <t>Estas actividades están completamente integradas en los procesos, con supervisión regular y uso de métricas para evaluar su efectividad.</t>
  </si>
  <si>
    <t>Las actividades están integradas en los procesos organizacionales, con monitoreo continuo y uso de métricas y KPIs para asegurar la efectividad y mejora.</t>
  </si>
  <si>
    <t>Integración completa en los procesos. Supervisión y control regulares. Uso de métricas y KPIs para evaluar la efectividad de las actividades.</t>
  </si>
  <si>
    <t>Mantener la mejora continua y revisar regularmente los KPIs para adaptarse a los cambios en el entorno y mejorar la toma de decisiones sobre la seguridad de la información.</t>
  </si>
  <si>
    <t>No se realizan auditorías internas formales para evaluar la seguridad de la información.</t>
  </si>
  <si>
    <t>Las auditorías internas son esporádicas y no están documentadas, lo que provoca una falta de evaluación sistemática y formal de la efectividad del SGSI.</t>
  </si>
  <si>
    <t>Ausencia de auditorías internas formales. Evaluaciones esporádicas y no documentadas. Falta de evaluación sistemática.</t>
  </si>
  <si>
    <t>Establecer y documentar un programa formal de auditoría interna para evaluar la efectividad del SGSI. Asegurar que las auditorías se realicen de manera regular y sistemática.</t>
  </si>
  <si>
    <t>Se realizan auditorías internas básicas, pero de manera inconsistente y dependiente de individuos específicos.</t>
  </si>
  <si>
    <t>Existen esfuerzos para realizar auditorías internas, pero son irregulares y dependen de individuos específicos, lo que afecta la consistencia de las evaluaciones.</t>
  </si>
  <si>
    <t>Auditorías internas básicas e irregulares. Dependencia de individuos específicos para las auditorías.</t>
  </si>
  <si>
    <t>Desarrollar un enfoque más estructurado y consistente para las auditorías internas. Capacitar a más empleados en estos procedimientos y asegurar la regularidad y consistencia en las evaluaciones.</t>
  </si>
  <si>
    <t>Las auditorías internas están bien documentadas y definidas, siguiendo metodologías estándar con control básico.</t>
  </si>
  <si>
    <t>Las auditorías internas están claramente documentadas, siguiendo metodologías estándar, con un nivel básico de control y supervisión para asegurar su efectividad.</t>
  </si>
  <si>
    <t>Integrar completamente las auditorías internas en los procesos organizacionales. Implementar controles y supervisión regulares para asegurar la efectividad de las auditorías.</t>
  </si>
  <si>
    <t>Las auditorías internas están completamente integradas en los procesos, con supervisión regular y uso de métricas para evaluar su efectividad.</t>
  </si>
  <si>
    <t>Las auditorías internas están integradas en los procesos organizacionales, con monitoreo continuo y uso de métricas y KPIs para asegurar la efectividad y mejora.</t>
  </si>
  <si>
    <t>Integración completa en los procesos. Supervisión y control regulares. Uso de métricas y KPIs para evaluar la efectividad de las auditorías.</t>
  </si>
  <si>
    <t>Mantener la mejora continua y revisar regularmente los KPIs para adaptarse a los cambios en el entorno y mejorar la evaluación de la efectividad del SGSI a través de las auditorías internas.</t>
  </si>
  <si>
    <t>La alta dirección no realiza revisiones formales del SGSI.</t>
  </si>
  <si>
    <t>Las revisiones son esporádicas y no están documentadas, lo que resulta en una falta de evaluación sistemática de la idoneidad, adecuación y efectividad del SGSI.</t>
  </si>
  <si>
    <t>Ausencia de revisiones formales por la dirección. Revisiones esporádicas y no documentadas. Falta de evaluación sistemática.</t>
  </si>
  <si>
    <t>Establecer y documentar un procedimiento formal para la revisión del SGSI por parte de la alta dirección. Asegurar que las revisiones se realicen de manera regular y sistemática.</t>
  </si>
  <si>
    <t>Se realizan revisiones básicas del SGSI por la alta dirección, pero de manera inconsistente y dependiente de individuos específicos.</t>
  </si>
  <si>
    <t>Existen esfuerzos para revisar el SGSI, pero son irregulares y dependen de individuos específicos, lo que afecta la consistencia y utilidad de las revisiones.</t>
  </si>
  <si>
    <t>Revisiones básicas e irregulares del SGSI. Dependencia de individuos específicos para las revisiones.</t>
  </si>
  <si>
    <t>Desarrollar un enfoque más estructurado y consistente para las revisiones por la dirección. Capacitar a más miembros de la alta dirección en estos procedimientos y asegurar la regularidad en las revisiones.</t>
  </si>
  <si>
    <t>Las revisiones del SGSI por la dirección están bien documentadas y definidas, siguiendo metodologías estándar con control básico.</t>
  </si>
  <si>
    <t>Las revisiones están claramente documentadas, siguiendo metodologías estándar, con un nivel básico de control y supervisión para asegurar su efectividad.</t>
  </si>
  <si>
    <t>Integrar completamente las revisiones del SGSI en los procesos de la alta dirección. Implementar controles y supervisión regulares para asegurar la efectividad de las revisiones.</t>
  </si>
  <si>
    <t>Las revisiones del SGSI por la dirección están completamente integradas en los procesos, con supervisión regular y uso de métricas para evaluar su efectividad.</t>
  </si>
  <si>
    <t>Las revisiones del SGSI están integradas en los procesos de la alta dirección, con monitoreo continuo y uso de métricas y KPIs para asegurar la efectividad y mejora.</t>
  </si>
  <si>
    <t>Integración completa en los procesos de la alta dirección. Supervisión y control regulares. Uso de métricas y KPIs para evaluar la efectividad de las revisiones.</t>
  </si>
  <si>
    <t>Mantener la mejora continua y revisar regularmente los KPIs para adaptarse a los cambios en el entorno y mejorar la evaluación de la idoneidad, adecuación y efectividad del SGSI a través de las revisiones por la dirección.</t>
  </si>
  <si>
    <t>No se realizan actividades formales de mejora continua en la seguridad de la información.</t>
  </si>
  <si>
    <t>Las actividades de mejora son esporádicas y no documentadas, lo que resulta en una falta de progreso sistemático en la efectividad del SGSI.</t>
  </si>
  <si>
    <t>Ausencia de actividades formales de mejora. Mejora esporádica y no documentada.</t>
  </si>
  <si>
    <t>Iniciar la identificación y documentación sistemática de oportunidades de mejora en la seguridad de la información. Establecer un enfoque básico para la mejora continua.</t>
  </si>
  <si>
    <t>Se realizan esfuerzos básicos para la mejora continua, pero de manera inconsistente y dependiente de individuos específicos.</t>
  </si>
  <si>
    <t>Existen esfuerzos para identificar y realizar mejoras, pero son irregulares y dependen de individuos específicos, afectando la consistencia del progreso.</t>
  </si>
  <si>
    <t>Esfuerzos básicos e irregulares de mejora. Dependencia de individuos específicos.</t>
  </si>
  <si>
    <t>Desarrollar un enfoque más estructurado y consistente para la mejora continua. Capacitar a más empleados en estos procedimientos y asegurar la regularidad y sistematicidad en las mejoras.</t>
  </si>
  <si>
    <t>Las actividades de mejora continua están bien documentadas y definidas, siguiendo metodologías estándar con control básico.</t>
  </si>
  <si>
    <t>Las actividades de mejora están claramente documentadas, siguiendo metodologías estándar, con un nivel básico de control y supervisión para asegurar su efectividad.</t>
  </si>
  <si>
    <t>Integrar completamente las actividades de mejora continua en los procesos organizacionales. Implementar controles y supervisión regulares para asegurar la efectividad de las mejoras.</t>
  </si>
  <si>
    <t>Las actividades de mejora continua están completamente integradas en los procesos, con supervisión regular y uso de métricas para evaluar su efectividad.</t>
  </si>
  <si>
    <t>Las actividades de mejora están integradas en los procesos organizacionales, con monitoreo continuo y uso de métricas y KPIs para asegurar la efectividad y mejora.</t>
  </si>
  <si>
    <t>Integración completa en los procesos. Supervisión y control regulares. Uso de métricas y KPIs para evaluar la efectividad de las mejoras.</t>
  </si>
  <si>
    <t>Mantener la mejora continua y revisar regularmente los KPIs para adaptarse a los cambios en el entorno y asegurar la mejora constante en la seguridad de la información.</t>
  </si>
  <si>
    <t>No se gestionan formalmente las no conformidades ni se toman acciones correctivas.</t>
  </si>
  <si>
    <t>Las actividades relacionadas con la gestión de no conformidades y acciones correctivas son ad-hoc y no documentadas, resultando en una falta de resolución sistemática.</t>
  </si>
  <si>
    <t>Ausencia de gestión formal de no conformidades. Actividades reactivas y no documentadas. Falta de resolución sistemática.</t>
  </si>
  <si>
    <t>Establecer y documentar un procedimiento formal para la gestión de no conformidades y acciones correctivas. Asegurar que todas las no conformidades se identifiquen y aborden sistemáticamente.</t>
  </si>
  <si>
    <t>Se realizan esfuerzos básicos para gestionar no conformidades y tomar acciones correctivas, pero de manera inconsistente y dependiente de individuos específicos.</t>
  </si>
  <si>
    <t>Existen esfuerzos para gestionar no conformidades y tomar acciones correctivas, pero son irregulares y dependen de individuos específicos, afectando la consistencia de la resolución.</t>
  </si>
  <si>
    <t>Gestión básica e irregular de no conformidades. Dependencia de individuos específicos para la resolución.</t>
  </si>
  <si>
    <t>Desarrollar un enfoque más estructurado y consistente para la gestión de no conformidades y acciones correctivas. Capacitar a más empleados en estos procedimientos y asegurar la regularidad en la resolución de no conformidades.</t>
  </si>
  <si>
    <t>Los procesos de gestión de no conformidades y acciones correctivas están bien documentados y definidos, siguiendo metodologías estándar con control básico.</t>
  </si>
  <si>
    <t>Los procesos están claramente documentados, siguiendo metodologías estándar, con un nivel básico de control y supervisión para asegurar su efectividad.</t>
  </si>
  <si>
    <t>Integrar completamente los procesos de gestión de no conformidades y acciones correctivas en los procesos organizacionales. Implementar controles y supervisión regulares para asegurar la efectividad de las resoluciones.</t>
  </si>
  <si>
    <t>Los procesos de gestión de no conformidades y acciones correctivas están completamente integrados en los procesos, con supervisión regular y uso de métricas para evaluar su efectividad.</t>
  </si>
  <si>
    <t>Los procesos están integrados en los procesos organizacionales, con monitoreo continuo y uso de métricas y KPIs para asegurar la efectividad y mejora.</t>
  </si>
  <si>
    <t>Integración completa en los procesos. Supervisión y control regulares. Uso de métricas y KPIs para evaluar la efectividad de las acciones correctivas.</t>
  </si>
  <si>
    <t>Mantener la mejora continua y revisar regularmente los KPIs para adaptarse a los cambios en el entorno y asegurar la resolución constante y efectiva de las no conformidades.</t>
  </si>
  <si>
    <t>No se identifican ni documentan las necesidades de las partes interesadas.</t>
  </si>
  <si>
    <t>Las actividades relacionadas con la identificación de necesidades de partes interesadas son reactivas y sin documentación formal.</t>
  </si>
  <si>
    <t>Ausencia de identificación de partes interesadas. Falta de documentación de necesidades. Actividades ad-hoc y reactivas.</t>
  </si>
  <si>
    <t>Comenzar a identificar y documentar sistemáticamente las necesidades de las partes interesadas. Crear procedimientos básicos para la recopilación y registro de estas necesidades.</t>
  </si>
  <si>
    <t>Existen intentos documentados de identificación, pero su ejecución es inconsistente.</t>
  </si>
  <si>
    <t>Hay esfuerzos por identificar y documentar las necesidades de las partes interesadas, pero estos son irregulares y dependen de ciertos individuos.</t>
  </si>
  <si>
    <t>Intentos básicos de documentación. Ejecución irregular y dependiente de individuos específicos. Esfuerzos iniciales por identificar necesidades de partes interesadas.</t>
  </si>
  <si>
    <t>Establecer un proceso más estructurado y consistente para identificar y documentar las necesidades de las partes interesadas. Asegurar que más empleados estén involucrados y capacitados en estos procedimientos.</t>
  </si>
  <si>
    <t>Procesos documentados y metodologías estándar aseguran la identificación y entendimiento adecuados.</t>
  </si>
  <si>
    <t>La identificación y documentación de las necesidades de las partes interesadas se realiza de manera consistente, siguiendo metodologías estándar.</t>
  </si>
  <si>
    <t>Procesos bien documentados. Uso de metodologías estándar para la identificación de necesidades. Evaluación y documentación regular de las expectativas de las partes interesadas.</t>
  </si>
  <si>
    <t>Integrar completamente los procesos de identificación de necesidades en las operaciones diarias de la organización. Implementar controles y supervisión regulares, utilizando métricas específicas para evaluar la efectividad de estos procesos.</t>
  </si>
  <si>
    <t>La identificación de necesidades está plenamente integrada, con monitoreo regular y uso de métricas.</t>
  </si>
  <si>
    <t>La identificación y evaluación de las necesidades de las partes interesadas está integrada en los procesos organizacionales, con monitoreo continuo y uso de KPIs.</t>
  </si>
  <si>
    <t>Integración completa en los procesos organizacionales. Monitoreo y control regulares. Evaluación continua mediante métricas y KPIs para asegurar la satisfacción de las partes interesadas.</t>
  </si>
  <si>
    <t>Mantener la mejora continua y revisar regularmente los KPIs para adaptarse a los cambios en las necesidades de las partes interesadas. Asegurar que todos los niveles de la organización estén alineados y comprometidos con la identificación de estas necesidades.</t>
  </si>
  <si>
    <t>No se determina ni formaliza el alcance del SGSI. Las actividades son reactivas y no estructuradas.</t>
  </si>
  <si>
    <t>No hay esfuerzos documentados para establecer el alcance del SGSI, resultando en actividades ad-hoc y sin una dirección clara.</t>
  </si>
  <si>
    <t>Ausencia de documentación. Actividades reactivas y no estructuradas. Falta de determinación del alcance del SGSI.</t>
  </si>
  <si>
    <t>Iniciar la definición y documentación del alcance del SGSI, considerando los problemas externos e internos relevantes. Establecer un enfoque básico y sistemático para esta determinación.</t>
  </si>
  <si>
    <t>El alcance del SGSI está documentado, pero su implementación depende en gran medida de personas específicas.</t>
  </si>
  <si>
    <t>Existen esfuerzos para documentar el alcance del SGSI, pero la implementación es inconsistente y depende de individuos específicos.</t>
  </si>
  <si>
    <t>Documentación básica. Implementación irregular y dependiente de individuos específicos. Esfuerzos iniciales por determinar el alcance del SGSI.</t>
  </si>
  <si>
    <t>Desarrollar un marco más estructurado para la determinación del alcance del SGSI. Capacitar a más empleados en estos procedimientos y asegurar la consistencia en la aplicación de los procesos documentados.</t>
  </si>
  <si>
    <t>El alcance del SGSI está bien documentado y definido, siguiendo metodologías estándar.</t>
  </si>
  <si>
    <t>La documentación del alcance del SGSI es clara y sigue metodologías estándar, con un nivel básico de control y supervisión para asegurar su efectividad.</t>
  </si>
  <si>
    <t>Alcance bien definido y documentado. Uso de metodologías estándar. Evaluación y documentación regular del alcance del SGSI.</t>
  </si>
  <si>
    <t>Integrar completamente los procesos de determinación del alcance del SGSI en las operaciones diarias de la organización. Implementar controles y supervisión regulares, utilizando métricas específicas para evaluar la efectividad de estos procesos.</t>
  </si>
  <si>
    <t>El alcance del SGSI está completamente integrado y supervisado regularmente con métricas y KPIs.</t>
  </si>
  <si>
    <t>La determinación del alcance del SGSI está integrada en los procesos organizacionales, con monitoreo continuo y uso de métricas y KPIs para asegurar la efectividad.</t>
  </si>
  <si>
    <t>Integración completa en los procesos de la organización. Control y supervisión continuos. Uso de métricas y KPIs para la evaluación y mejora continua del alcance del SGSI.</t>
  </si>
  <si>
    <t>Mantener la mejora continua y revisar regularmente los KPIs para adaptarse a los cambios en el alcance del SGSI. Asegurar que todos los niveles de la organización estén alineados y comprometidos con la determinación del alcance.</t>
  </si>
  <si>
    <t>Herramienta para medir el nivel actual de los Sistemas de gestión de seguridad de la información según ISO 27001:2022</t>
  </si>
  <si>
    <t>Matriz para medir el nivel actual del Sistemas de gestión de seguridad de la información según ISO 27001:2022</t>
  </si>
  <si>
    <t>Este documento tiene como objetivo servir como una guía exhaustiva y detallada para la implementación, mantenimiento y mejora continua de un Sistema de Gestión de Seguridad de la Información (SGSI). Además, facilita la evaluación del nivel de madurez del SGSI en alineación con la norma ISO 27001:2022, al proporcionar una herramienta integral que apoya a las organizaciones en la gestión eficaz y robusta de la seguridad de la información, garantizando la confidencialidad, integridad y disponibilidad de sus activos.</t>
  </si>
  <si>
    <t>Mediante el uso de una tabla de evaluación de madurez, este documento ayudará a identificar el nivel de madurez del Sistemas de gestión de seguridad de la información y proporcionará recomendaciones específicas para alcanzar niveles superiores.
Esta herramienta no pretende ser exhaustiva, sino proporcionar una base sólida para el análisis y la toma de decisiones.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</si>
</sst>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5">
    <font>
      <sz val="11"/>
      <color theme="1"/>
      <name val="Aptos Narrow"/>
      <family val="2"/>
      <scheme val="minor"/>
    </font>
    <font>
      <sz val="11"/>
      <color theme="1"/>
      <name val="Arial"/>
      <family val="2"/>
    </font>
    <font>
      <sz val="11"/>
      <color theme="1"/>
      <name val="Aptos Narrow"/>
      <family val="2"/>
      <scheme val="minor"/>
    </font>
    <font>
      <sz val="11"/>
      <color theme="0"/>
      <name val="Aptos Narrow"/>
      <family val="2"/>
      <scheme val="minor"/>
    </font>
    <font>
      <sz val="11"/>
      <color theme="0"/>
      <name val="Arial"/>
      <family val="2"/>
    </font>
    <font>
      <sz val="11"/>
      <color rgb="FFFF0000"/>
      <name val="Arial"/>
      <family val="2"/>
    </font>
    <font>
      <b/>
      <sz val="11"/>
      <color theme="1"/>
      <name val="Arial"/>
      <family val="2"/>
    </font>
    <font>
      <sz val="11"/>
      <color theme="1"/>
      <name val="Arial"/>
      <family val="2"/>
    </font>
    <font>
      <b/>
      <sz val="11"/>
      <color theme="0"/>
      <name val="Arial"/>
      <family val="2"/>
    </font>
    <font>
      <b/>
      <sz val="11"/>
      <color rgb="FF0E1D2C"/>
      <name val="Arial"/>
      <family val="2"/>
    </font>
    <font>
      <sz val="11"/>
      <color rgb="FF0E1D2C"/>
      <name val="Arial"/>
      <family val="2"/>
    </font>
    <font>
      <sz val="8"/>
      <color theme="0" tint="-0.34998626667073579"/>
      <name val="Arial"/>
      <family val="2"/>
    </font>
    <font>
      <b/>
      <sz val="11"/>
      <color theme="3" tint="-0.249977111117893"/>
      <name val="Arial"/>
      <family val="2"/>
    </font>
    <font>
      <u/>
      <sz val="11"/>
      <color theme="10"/>
      <name val="Aptos Narrow"/>
      <family val="2"/>
      <scheme val="minor"/>
    </font>
    <font>
      <sz val="11"/>
      <name val="Arial"/>
      <family val="2"/>
    </font>
    <font>
      <b/>
      <sz val="11"/>
      <name val="Arial"/>
      <family val="2"/>
    </font>
    <font>
      <b/>
      <sz val="11"/>
      <color rgb="FF002060"/>
      <name val="Arial"/>
      <family val="2"/>
    </font>
    <font>
      <i/>
      <sz val="11"/>
      <color theme="0" tint="-0.34998626667073579"/>
      <name val="Arial"/>
      <family val="2"/>
    </font>
    <font>
      <b/>
      <sz val="11"/>
      <color theme="3"/>
      <name val="Arial"/>
      <family val="2"/>
    </font>
    <font>
      <i/>
      <sz val="11"/>
      <color theme="3" tint="-0.249977111117893"/>
      <name val="Arial"/>
      <family val="2"/>
    </font>
    <font>
      <b/>
      <sz val="13"/>
      <color theme="0"/>
      <name val="Arial"/>
      <family val="2"/>
    </font>
    <font>
      <b/>
      <sz val="10"/>
      <name val="Arial"/>
      <family val="2"/>
    </font>
    <font>
      <sz val="10"/>
      <color rgb="FF0E1D2C"/>
      <name val="Arial"/>
      <family val="2"/>
    </font>
    <font>
      <sz val="12"/>
      <name val="Aptos Narrow"/>
      <family val="2"/>
      <scheme val="minor"/>
    </font>
    <font>
      <sz val="9.5"/>
      <color theme="0"/>
      <name val="Arial"/>
      <family val="2"/>
    </font>
    <font>
      <sz val="9.5"/>
      <color theme="1"/>
      <name val="Arial"/>
      <family val="2"/>
    </font>
    <font>
      <b/>
      <sz val="11"/>
      <color rgb="FF0070C0"/>
      <name val="Arial"/>
      <family val="2"/>
    </font>
    <font>
      <b/>
      <sz val="11"/>
      <color rgb="FF162B47"/>
      <name val="Arial"/>
      <family val="2"/>
    </font>
    <font>
      <sz val="11"/>
      <color rgb="FF162B47"/>
      <name val="Arial"/>
      <family val="2"/>
    </font>
    <font>
      <sz val="11"/>
      <color rgb="FFFF0000"/>
      <name val="Aptos Narrow"/>
      <family val="2"/>
      <scheme val="minor"/>
    </font>
    <font>
      <sz val="10"/>
      <name val="Arial"/>
      <family val="2"/>
    </font>
    <font>
      <b/>
      <sz val="11"/>
      <color theme="5"/>
      <name val="Arial"/>
      <family val="2"/>
    </font>
    <font>
      <sz val="11"/>
      <color theme="1"/>
      <name val="Arial"/>
      <family val="2"/>
    </font>
    <font>
      <sz val="9.5"/>
      <name val="Arial"/>
      <family val="2"/>
    </font>
    <font>
      <sz val="11"/>
      <name val="Aptos Narrow"/>
      <family val="2"/>
      <scheme val="minor"/>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162B47"/>
        <bgColor indexed="64"/>
      </patternFill>
    </fill>
    <fill>
      <patternFill patternType="solid">
        <fgColor rgb="FFFBFBFB"/>
        <bgColor indexed="64"/>
      </patternFill>
    </fill>
    <fill>
      <patternFill patternType="solid">
        <fgColor rgb="FFD3E0F1"/>
        <bgColor indexed="64"/>
      </patternFill>
    </fill>
    <fill>
      <patternFill patternType="solid">
        <fgColor theme="3" tint="0.89999084444715716"/>
        <bgColor indexed="64"/>
      </patternFill>
    </fill>
    <fill>
      <patternFill patternType="solid">
        <fgColor rgb="FFCAD9EE"/>
        <bgColor indexed="64"/>
      </patternFill>
    </fill>
    <fill>
      <patternFill patternType="solid">
        <fgColor theme="0" tint="-4.9989318521683403E-2"/>
        <bgColor indexed="64"/>
      </patternFill>
    </fill>
    <fill>
      <patternFill patternType="solid">
        <fgColor theme="5"/>
        <bgColor indexed="64"/>
      </patternFill>
    </fill>
    <fill>
      <patternFill patternType="solid">
        <fgColor rgb="FFEEF5FC"/>
        <bgColor indexed="64"/>
      </patternFill>
    </fill>
  </fills>
  <borders count="48">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style="thin">
        <color theme="0" tint="-4.9989318521683403E-2"/>
      </left>
      <right/>
      <top/>
      <bottom/>
      <diagonal/>
    </border>
    <border>
      <left/>
      <right style="thin">
        <color theme="0" tint="-4.9989318521683403E-2"/>
      </right>
      <top/>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
      <left/>
      <right style="thin">
        <color theme="2" tint="-9.9978637043366805E-2"/>
      </right>
      <top/>
      <bottom/>
      <diagonal/>
    </border>
    <border>
      <left style="thin">
        <color theme="2" tint="-9.9978637043366805E-2"/>
      </left>
      <right/>
      <top/>
      <bottom/>
      <diagonal/>
    </border>
    <border>
      <left style="thin">
        <color theme="2" tint="-9.9978637043366805E-2"/>
      </left>
      <right/>
      <top style="medium">
        <color theme="0"/>
      </top>
      <bottom style="medium">
        <color theme="0"/>
      </bottom>
      <diagonal/>
    </border>
    <border>
      <left/>
      <right/>
      <top style="medium">
        <color theme="0"/>
      </top>
      <bottom style="medium">
        <color theme="0"/>
      </bottom>
      <diagonal/>
    </border>
    <border>
      <left/>
      <right style="thin">
        <color theme="2" tint="-9.9978637043366805E-2"/>
      </right>
      <top style="medium">
        <color theme="0"/>
      </top>
      <bottom style="medium">
        <color theme="0"/>
      </bottom>
      <diagonal/>
    </border>
    <border>
      <left style="thin">
        <color theme="2" tint="-9.9978637043366805E-2"/>
      </left>
      <right/>
      <top style="medium">
        <color theme="0"/>
      </top>
      <bottom/>
      <diagonal/>
    </border>
    <border>
      <left/>
      <right/>
      <top style="medium">
        <color theme="0"/>
      </top>
      <bottom/>
      <diagonal/>
    </border>
    <border>
      <left/>
      <right style="thin">
        <color theme="2" tint="-9.9978637043366805E-2"/>
      </right>
      <top style="medium">
        <color theme="0"/>
      </top>
      <bottom/>
      <diagonal/>
    </border>
    <border>
      <left style="thin">
        <color theme="2" tint="-9.9978637043366805E-2"/>
      </left>
      <right/>
      <top/>
      <bottom style="medium">
        <color theme="0"/>
      </bottom>
      <diagonal/>
    </border>
    <border>
      <left/>
      <right/>
      <top/>
      <bottom style="medium">
        <color theme="0"/>
      </bottom>
      <diagonal/>
    </border>
    <border>
      <left/>
      <right style="thin">
        <color theme="2" tint="-9.9978637043366805E-2"/>
      </right>
      <top/>
      <bottom style="medium">
        <color theme="0"/>
      </bottom>
      <diagonal/>
    </border>
    <border>
      <left style="thin">
        <color theme="2" tint="-9.9978637043366805E-2"/>
      </left>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n">
        <color theme="2" tint="-9.9978637043366805E-2"/>
      </left>
      <right/>
      <top/>
      <bottom style="thin">
        <color theme="2" tint="-9.9978637043366805E-2"/>
      </bottom>
      <diagonal/>
    </border>
    <border>
      <left/>
      <right/>
      <top/>
      <bottom style="thin">
        <color theme="2" tint="-9.9978637043366805E-2"/>
      </bottom>
      <diagonal/>
    </border>
    <border>
      <left/>
      <right style="thin">
        <color theme="2" tint="-9.9978637043366805E-2"/>
      </right>
      <top/>
      <bottom style="thin">
        <color theme="2" tint="-9.9978637043366805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style="thin">
        <color theme="0" tint="-4.9989318521683403E-2"/>
      </top>
      <bottom style="thin">
        <color rgb="FF162B47"/>
      </bottom>
      <diagonal/>
    </border>
    <border>
      <left style="thin">
        <color theme="0" tint="-4.9989318521683403E-2"/>
      </left>
      <right style="thin">
        <color theme="0" tint="-4.9989318521683403E-2"/>
      </right>
      <top/>
      <bottom style="thin">
        <color rgb="FF162B47"/>
      </bottom>
      <diagonal/>
    </border>
    <border>
      <left style="thin">
        <color theme="0" tint="-4.9989318521683403E-2"/>
      </left>
      <right/>
      <top style="thin">
        <color theme="0" tint="-4.9989318521683403E-2"/>
      </top>
      <bottom style="thin">
        <color rgb="FF162B47"/>
      </bottom>
      <diagonal/>
    </border>
    <border>
      <left/>
      <right style="thin">
        <color theme="0" tint="-4.9989318521683403E-2"/>
      </right>
      <top style="thin">
        <color theme="0" tint="-4.9989318521683403E-2"/>
      </top>
      <bottom style="thin">
        <color rgb="FF162B47"/>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bottom style="thin">
        <color indexed="64"/>
      </bottom>
      <diagonal/>
    </border>
    <border>
      <left style="thin">
        <color theme="0" tint="-4.9989318521683403E-2"/>
      </left>
      <right/>
      <top style="thin">
        <color theme="0" tint="-4.9989318521683403E-2"/>
      </top>
      <bottom style="thin">
        <color indexed="64"/>
      </bottom>
      <diagonal/>
    </border>
    <border>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indexed="64"/>
      </top>
      <bottom/>
      <diagonal/>
    </border>
    <border>
      <left style="thin">
        <color theme="0" tint="-4.9989318521683403E-2"/>
      </left>
      <right/>
      <top style="thin">
        <color indexed="64"/>
      </top>
      <bottom style="thin">
        <color theme="0" tint="-4.9989318521683403E-2"/>
      </bottom>
      <diagonal/>
    </border>
    <border>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top/>
      <bottom style="thin">
        <color indexed="64"/>
      </bottom>
      <diagonal/>
    </border>
    <border>
      <left/>
      <right style="thin">
        <color theme="0" tint="-4.9989318521683403E-2"/>
      </right>
      <top/>
      <bottom style="thin">
        <color indexed="64"/>
      </bottom>
      <diagonal/>
    </border>
    <border>
      <left style="thin">
        <color theme="0" tint="-4.9989318521683403E-2"/>
      </left>
      <right style="thin">
        <color theme="0" tint="-4.9989318521683403E-2"/>
      </right>
      <top style="thin">
        <color rgb="FF162B47"/>
      </top>
      <bottom/>
      <diagonal/>
    </border>
  </borders>
  <cellStyleXfs count="3">
    <xf numFmtId="0" fontId="0" fillId="0" borderId="0"/>
    <xf numFmtId="9" fontId="2" fillId="0" borderId="0" applyFont="0" applyFill="0" applyBorder="0" applyAlignment="0" applyProtection="0"/>
    <xf numFmtId="0" fontId="13" fillId="0" borderId="0" applyNumberFormat="0" applyFill="0" applyBorder="0" applyAlignment="0" applyProtection="0"/>
  </cellStyleXfs>
  <cellXfs count="204">
    <xf numFmtId="0" fontId="0" fillId="0" borderId="0" xfId="0"/>
    <xf numFmtId="0" fontId="5" fillId="0" borderId="0" xfId="0" applyFont="1"/>
    <xf numFmtId="1" fontId="5" fillId="0" borderId="0" xfId="1" applyNumberFormat="1" applyFont="1" applyAlignment="1">
      <alignment horizontal="center" vertical="center"/>
    </xf>
    <xf numFmtId="0" fontId="6" fillId="2" borderId="1" xfId="0" applyFont="1" applyFill="1" applyBorder="1" applyAlignment="1">
      <alignment vertical="center"/>
    </xf>
    <xf numFmtId="0" fontId="6" fillId="2" borderId="1" xfId="0" applyFont="1" applyFill="1" applyBorder="1" applyAlignment="1">
      <alignment horizontal="left" vertical="center"/>
    </xf>
    <xf numFmtId="0" fontId="7" fillId="2" borderId="1" xfId="0" applyFont="1" applyFill="1" applyBorder="1" applyAlignment="1">
      <alignment vertical="center"/>
    </xf>
    <xf numFmtId="0" fontId="6" fillId="2" borderId="1" xfId="0" applyFont="1" applyFill="1" applyBorder="1" applyAlignment="1">
      <alignment horizontal="center" vertical="center"/>
    </xf>
    <xf numFmtId="0" fontId="7" fillId="0" borderId="0" xfId="0" applyFont="1"/>
    <xf numFmtId="0" fontId="7" fillId="0" borderId="0" xfId="0" applyFont="1" applyAlignment="1">
      <alignment horizontal="left" vertical="center" wrapText="1" indent="1"/>
    </xf>
    <xf numFmtId="0" fontId="11" fillId="0" borderId="1" xfId="0" applyFont="1" applyBorder="1" applyAlignment="1">
      <alignment horizontal="center" vertical="center" wrapText="1"/>
    </xf>
    <xf numFmtId="0" fontId="4" fillId="0" borderId="0" xfId="0" applyFont="1"/>
    <xf numFmtId="0" fontId="4" fillId="0" borderId="1" xfId="0" applyFont="1" applyBorder="1" applyAlignment="1">
      <alignment horizontal="center" vertical="center" wrapText="1"/>
    </xf>
    <xf numFmtId="0" fontId="14" fillId="0" borderId="0" xfId="0" applyFont="1"/>
    <xf numFmtId="1" fontId="7" fillId="0" borderId="1" xfId="1" applyNumberFormat="1" applyFont="1" applyBorder="1" applyAlignment="1">
      <alignment horizontal="center" vertical="center"/>
    </xf>
    <xf numFmtId="0" fontId="7" fillId="2" borderId="14" xfId="0" applyFont="1" applyFill="1" applyBorder="1" applyAlignment="1">
      <alignment vertical="center" wrapText="1"/>
    </xf>
    <xf numFmtId="0" fontId="7" fillId="2" borderId="0" xfId="0" applyFont="1" applyFill="1" applyAlignment="1">
      <alignment vertical="center" wrapText="1"/>
    </xf>
    <xf numFmtId="0" fontId="7" fillId="2" borderId="13" xfId="0" applyFont="1" applyFill="1" applyBorder="1" applyAlignment="1">
      <alignment vertical="center" wrapText="1"/>
    </xf>
    <xf numFmtId="0" fontId="7" fillId="2" borderId="0" xfId="0" applyFont="1" applyFill="1" applyAlignment="1">
      <alignment horizontal="left" vertical="center" wrapText="1"/>
    </xf>
    <xf numFmtId="0" fontId="16" fillId="3" borderId="1" xfId="0" applyFont="1" applyFill="1" applyBorder="1" applyAlignment="1">
      <alignment horizontal="center" vertical="center"/>
    </xf>
    <xf numFmtId="0" fontId="7" fillId="0" borderId="1" xfId="0" applyFont="1" applyBorder="1" applyAlignment="1">
      <alignment horizontal="center" vertical="center"/>
    </xf>
    <xf numFmtId="0" fontId="7" fillId="2" borderId="13" xfId="0" applyFont="1" applyFill="1" applyBorder="1" applyAlignment="1">
      <alignment horizontal="left" vertical="center" wrapText="1"/>
    </xf>
    <xf numFmtId="0" fontId="7" fillId="0" borderId="0" xfId="0" applyFont="1" applyAlignment="1">
      <alignment horizontal="center" vertical="center"/>
    </xf>
    <xf numFmtId="0" fontId="7" fillId="2" borderId="14" xfId="0" applyFont="1" applyFill="1" applyBorder="1" applyAlignment="1">
      <alignment horizontal="left" vertical="center" wrapText="1" indent="1"/>
    </xf>
    <xf numFmtId="0" fontId="7" fillId="2" borderId="0" xfId="0" applyFont="1" applyFill="1" applyAlignment="1">
      <alignment horizontal="left" vertical="center" wrapText="1" indent="1"/>
    </xf>
    <xf numFmtId="0" fontId="7" fillId="2" borderId="0" xfId="0" applyFont="1" applyFill="1" applyAlignment="1">
      <alignment vertical="center"/>
    </xf>
    <xf numFmtId="0" fontId="18" fillId="2" borderId="14" xfId="0" applyFont="1" applyFill="1" applyBorder="1" applyAlignment="1">
      <alignment horizontal="left" vertical="center" wrapText="1" indent="1"/>
    </xf>
    <xf numFmtId="0" fontId="7" fillId="2" borderId="27" xfId="0" applyFont="1" applyFill="1" applyBorder="1" applyAlignment="1">
      <alignment horizontal="center" vertical="center"/>
    </xf>
    <xf numFmtId="0" fontId="7" fillId="2" borderId="28" xfId="0" applyFont="1" applyFill="1" applyBorder="1" applyAlignment="1">
      <alignment horizontal="center" vertical="center"/>
    </xf>
    <xf numFmtId="0" fontId="7" fillId="2" borderId="29" xfId="0" applyFont="1" applyFill="1" applyBorder="1" applyAlignment="1">
      <alignment horizontal="center" vertical="center"/>
    </xf>
    <xf numFmtId="0" fontId="8" fillId="4" borderId="0" xfId="0" applyFont="1" applyFill="1" applyAlignment="1">
      <alignment vertical="center"/>
    </xf>
    <xf numFmtId="0" fontId="4" fillId="4" borderId="0" xfId="2" applyFont="1" applyFill="1" applyBorder="1" applyAlignment="1">
      <alignment vertical="center"/>
    </xf>
    <xf numFmtId="0" fontId="4" fillId="4" borderId="0" xfId="0" applyFont="1" applyFill="1"/>
    <xf numFmtId="0" fontId="6" fillId="2" borderId="1" xfId="0" applyFont="1" applyFill="1" applyBorder="1" applyAlignment="1">
      <alignment horizontal="left" vertical="center" indent="1"/>
    </xf>
    <xf numFmtId="2" fontId="7" fillId="0" borderId="0" xfId="0" applyNumberFormat="1" applyFont="1"/>
    <xf numFmtId="0" fontId="0" fillId="0" borderId="8" xfId="0" applyBorder="1"/>
    <xf numFmtId="0" fontId="0" fillId="0" borderId="10" xfId="0" applyBorder="1"/>
    <xf numFmtId="0" fontId="0" fillId="0" borderId="11" xfId="0" applyBorder="1"/>
    <xf numFmtId="0" fontId="4" fillId="4" borderId="0" xfId="0" applyFont="1" applyFill="1" applyAlignment="1">
      <alignment horizontal="center"/>
    </xf>
    <xf numFmtId="0" fontId="3" fillId="0" borderId="0" xfId="0" applyFont="1"/>
    <xf numFmtId="0" fontId="7" fillId="0" borderId="8" xfId="0" applyFont="1" applyBorder="1"/>
    <xf numFmtId="0" fontId="9" fillId="6" borderId="1" xfId="0" applyFont="1" applyFill="1" applyBorder="1" applyAlignment="1">
      <alignment horizontal="center" vertical="center"/>
    </xf>
    <xf numFmtId="0" fontId="7" fillId="0" borderId="0" xfId="0" applyFont="1" applyAlignment="1">
      <alignment horizontal="left" vertical="center" indent="1"/>
    </xf>
    <xf numFmtId="0" fontId="7" fillId="0" borderId="0" xfId="0" applyFont="1" applyAlignment="1">
      <alignment vertical="center"/>
    </xf>
    <xf numFmtId="0" fontId="25" fillId="2" borderId="1" xfId="0" applyFont="1" applyFill="1" applyBorder="1" applyAlignment="1">
      <alignment horizontal="left" vertical="center" indent="1"/>
    </xf>
    <xf numFmtId="0" fontId="7" fillId="2" borderId="1" xfId="0" applyFont="1" applyFill="1" applyBorder="1" applyAlignment="1">
      <alignment horizontal="left" vertical="center" indent="1"/>
    </xf>
    <xf numFmtId="0" fontId="16" fillId="2" borderId="1" xfId="0" applyFont="1" applyFill="1" applyBorder="1" applyAlignment="1">
      <alignment horizontal="left" vertical="center" indent="1"/>
    </xf>
    <xf numFmtId="0" fontId="25" fillId="0" borderId="0" xfId="0" applyFont="1" applyAlignment="1">
      <alignment horizontal="left" vertical="center" indent="1"/>
    </xf>
    <xf numFmtId="0" fontId="7" fillId="0" borderId="8" xfId="0" applyFont="1" applyBorder="1" applyAlignment="1">
      <alignment vertical="center"/>
    </xf>
    <xf numFmtId="2" fontId="7" fillId="0" borderId="0" xfId="0" applyNumberFormat="1" applyFont="1" applyAlignment="1">
      <alignment horizontal="left" vertical="center" indent="1"/>
    </xf>
    <xf numFmtId="0" fontId="10" fillId="5" borderId="30" xfId="0" applyFont="1" applyFill="1" applyBorder="1" applyAlignment="1">
      <alignment horizontal="left" vertical="center" wrapText="1" indent="1"/>
    </xf>
    <xf numFmtId="0" fontId="10" fillId="0" borderId="6" xfId="0" applyFont="1" applyBorder="1" applyAlignment="1">
      <alignment vertical="center" wrapText="1"/>
    </xf>
    <xf numFmtId="0" fontId="4" fillId="4" borderId="0" xfId="0" applyFont="1" applyFill="1" applyAlignment="1">
      <alignment vertical="center"/>
    </xf>
    <xf numFmtId="0" fontId="24" fillId="4" borderId="0" xfId="0" applyFont="1" applyFill="1" applyAlignment="1">
      <alignment horizontal="left" vertical="center" indent="1"/>
    </xf>
    <xf numFmtId="0" fontId="4" fillId="4" borderId="0" xfId="0" applyFont="1" applyFill="1" applyAlignment="1">
      <alignment horizontal="left" vertical="center" indent="1"/>
    </xf>
    <xf numFmtId="0" fontId="14" fillId="0" borderId="1" xfId="0" applyFont="1" applyBorder="1" applyAlignment="1">
      <alignment horizontal="center" vertical="center"/>
    </xf>
    <xf numFmtId="0" fontId="7" fillId="0" borderId="10" xfId="0" applyFont="1" applyBorder="1"/>
    <xf numFmtId="0" fontId="7" fillId="0" borderId="11" xfId="0" applyFont="1" applyBorder="1"/>
    <xf numFmtId="2" fontId="7" fillId="0" borderId="11" xfId="0" applyNumberFormat="1" applyFont="1" applyBorder="1"/>
    <xf numFmtId="0" fontId="7" fillId="0" borderId="0" xfId="0" applyFont="1" applyAlignment="1">
      <alignment horizontal="left" indent="1"/>
    </xf>
    <xf numFmtId="0" fontId="10" fillId="0" borderId="3" xfId="0" applyFont="1" applyBorder="1" applyAlignment="1">
      <alignment vertical="center" wrapText="1"/>
    </xf>
    <xf numFmtId="2" fontId="15" fillId="7" borderId="1" xfId="1" applyNumberFormat="1" applyFont="1" applyFill="1" applyBorder="1" applyAlignment="1">
      <alignment horizontal="center" vertical="center"/>
    </xf>
    <xf numFmtId="0" fontId="7" fillId="0" borderId="1" xfId="0" applyFont="1" applyBorder="1" applyAlignment="1">
      <alignment horizontal="left" vertical="center" wrapText="1" indent="1"/>
    </xf>
    <xf numFmtId="0" fontId="28" fillId="8" borderId="1" xfId="0" applyFont="1" applyFill="1" applyBorder="1" applyAlignment="1">
      <alignment horizontal="center" vertical="center"/>
    </xf>
    <xf numFmtId="0" fontId="28" fillId="8" borderId="1" xfId="0" applyFont="1" applyFill="1" applyBorder="1" applyAlignment="1">
      <alignment horizontal="left" vertical="center" indent="1"/>
    </xf>
    <xf numFmtId="0" fontId="27" fillId="8" borderId="1" xfId="0" applyFont="1" applyFill="1" applyBorder="1" applyAlignment="1">
      <alignment vertical="center"/>
    </xf>
    <xf numFmtId="0" fontId="7" fillId="0" borderId="1" xfId="0" applyFont="1" applyBorder="1" applyAlignment="1">
      <alignment horizontal="center" vertical="center" wrapText="1"/>
    </xf>
    <xf numFmtId="9" fontId="8" fillId="4" borderId="8" xfId="1" applyFont="1" applyFill="1" applyBorder="1" applyAlignment="1">
      <alignment horizontal="center" vertical="center" wrapText="1"/>
    </xf>
    <xf numFmtId="2" fontId="27" fillId="9" borderId="0" xfId="1" applyNumberFormat="1" applyFont="1" applyFill="1" applyBorder="1" applyAlignment="1">
      <alignment horizontal="center" vertical="center"/>
    </xf>
    <xf numFmtId="9" fontId="27" fillId="9" borderId="0" xfId="1" applyFont="1" applyFill="1" applyBorder="1" applyAlignment="1">
      <alignment horizontal="center" vertical="center" wrapText="1"/>
    </xf>
    <xf numFmtId="9" fontId="27" fillId="9" borderId="0" xfId="1" applyFont="1" applyFill="1" applyBorder="1" applyAlignment="1">
      <alignment horizontal="center" vertical="center"/>
    </xf>
    <xf numFmtId="9" fontId="27" fillId="9" borderId="9" xfId="1" applyFont="1" applyFill="1" applyBorder="1" applyAlignment="1">
      <alignment horizontal="center" vertical="center" wrapText="1"/>
    </xf>
    <xf numFmtId="2" fontId="8" fillId="4" borderId="0" xfId="1" applyNumberFormat="1" applyFont="1" applyFill="1" applyBorder="1" applyAlignment="1">
      <alignment horizontal="center" vertical="center"/>
    </xf>
    <xf numFmtId="0" fontId="27" fillId="8" borderId="7" xfId="0" applyFont="1" applyFill="1" applyBorder="1" applyAlignment="1">
      <alignment vertical="center" wrapText="1"/>
    </xf>
    <xf numFmtId="2" fontId="27" fillId="8" borderId="1" xfId="1" applyNumberFormat="1" applyFont="1" applyFill="1" applyBorder="1" applyAlignment="1">
      <alignment horizontal="center" vertical="center"/>
    </xf>
    <xf numFmtId="2" fontId="27" fillId="8" borderId="7" xfId="0" applyNumberFormat="1" applyFont="1" applyFill="1" applyBorder="1" applyAlignment="1">
      <alignment horizontal="center" vertical="center" wrapText="1"/>
    </xf>
    <xf numFmtId="0" fontId="28" fillId="0" borderId="1" xfId="0" applyFont="1" applyBorder="1" applyAlignment="1">
      <alignment horizontal="left" vertical="center" wrapText="1" indent="1"/>
    </xf>
    <xf numFmtId="0" fontId="10" fillId="0" borderId="1" xfId="0" applyFont="1" applyBorder="1" applyAlignment="1">
      <alignment horizontal="center" vertical="center" wrapText="1"/>
    </xf>
    <xf numFmtId="2" fontId="23" fillId="9" borderId="1" xfId="0" applyNumberFormat="1" applyFont="1" applyFill="1" applyBorder="1" applyAlignment="1">
      <alignment horizontal="center" vertical="center"/>
    </xf>
    <xf numFmtId="2" fontId="23" fillId="9" borderId="32" xfId="0" applyNumberFormat="1" applyFont="1" applyFill="1" applyBorder="1" applyAlignment="1">
      <alignment horizontal="center" vertical="center"/>
    </xf>
    <xf numFmtId="0" fontId="29" fillId="0" borderId="0" xfId="0" applyFont="1"/>
    <xf numFmtId="2" fontId="30" fillId="0" borderId="1" xfId="0" applyNumberFormat="1" applyFont="1" applyBorder="1" applyAlignment="1">
      <alignment horizontal="center" vertical="center" wrapText="1"/>
    </xf>
    <xf numFmtId="0" fontId="4" fillId="10" borderId="0" xfId="0" applyFont="1" applyFill="1"/>
    <xf numFmtId="0" fontId="4" fillId="10" borderId="0" xfId="0" applyFont="1" applyFill="1" applyAlignment="1">
      <alignment horizontal="center"/>
    </xf>
    <xf numFmtId="0" fontId="0" fillId="10" borderId="0" xfId="0" applyFill="1"/>
    <xf numFmtId="0" fontId="31" fillId="2" borderId="14" xfId="0" applyFont="1" applyFill="1" applyBorder="1" applyAlignment="1">
      <alignment horizontal="left" vertical="center" wrapText="1" indent="1"/>
    </xf>
    <xf numFmtId="0" fontId="31" fillId="2" borderId="1" xfId="0" applyFont="1" applyFill="1" applyBorder="1" applyAlignment="1">
      <alignment horizontal="center" vertical="center"/>
    </xf>
    <xf numFmtId="0" fontId="4" fillId="10" borderId="0" xfId="0" applyFont="1" applyFill="1" applyAlignment="1">
      <alignment horizontal="left" indent="1"/>
    </xf>
    <xf numFmtId="0" fontId="27" fillId="8" borderId="5" xfId="0" applyFont="1" applyFill="1" applyBorder="1" applyAlignment="1">
      <alignment horizontal="left" vertical="center" indent="1"/>
    </xf>
    <xf numFmtId="0" fontId="7" fillId="0" borderId="11" xfId="0" applyFont="1" applyBorder="1" applyAlignment="1">
      <alignment horizontal="left" indent="1"/>
    </xf>
    <xf numFmtId="2" fontId="23" fillId="9" borderId="36" xfId="0" applyNumberFormat="1" applyFont="1" applyFill="1" applyBorder="1" applyAlignment="1">
      <alignment horizontal="center" vertical="center"/>
    </xf>
    <xf numFmtId="2" fontId="23" fillId="9" borderId="37" xfId="0" applyNumberFormat="1" applyFont="1" applyFill="1" applyBorder="1" applyAlignment="1">
      <alignment horizontal="center" vertical="center"/>
    </xf>
    <xf numFmtId="2" fontId="23" fillId="9" borderId="44" xfId="0" applyNumberFormat="1" applyFont="1" applyFill="1" applyBorder="1" applyAlignment="1">
      <alignment horizontal="center" vertical="center"/>
    </xf>
    <xf numFmtId="0" fontId="32" fillId="0" borderId="1" xfId="0" applyFont="1" applyBorder="1" applyAlignment="1">
      <alignment horizontal="center" vertical="center" wrapText="1"/>
    </xf>
    <xf numFmtId="0" fontId="14" fillId="0" borderId="0" xfId="0" applyFont="1" applyAlignment="1">
      <alignment vertical="center"/>
    </xf>
    <xf numFmtId="0" fontId="33" fillId="0" borderId="0" xfId="0" applyFont="1" applyAlignment="1">
      <alignment horizontal="left" vertical="center" indent="1"/>
    </xf>
    <xf numFmtId="0" fontId="14" fillId="0" borderId="0" xfId="0" applyFont="1" applyAlignment="1">
      <alignment horizontal="left" vertical="center" indent="1"/>
    </xf>
    <xf numFmtId="2" fontId="34" fillId="9" borderId="1" xfId="0" applyNumberFormat="1" applyFont="1" applyFill="1" applyBorder="1" applyAlignment="1">
      <alignment horizontal="center" vertical="center" wrapText="1"/>
    </xf>
    <xf numFmtId="2" fontId="34" fillId="9" borderId="37" xfId="0" applyNumberFormat="1" applyFont="1" applyFill="1" applyBorder="1" applyAlignment="1">
      <alignment horizontal="center" vertical="center" wrapText="1"/>
    </xf>
    <xf numFmtId="2" fontId="34" fillId="9" borderId="44" xfId="0" applyNumberFormat="1" applyFont="1" applyFill="1" applyBorder="1" applyAlignment="1">
      <alignment horizontal="center" vertical="center" wrapText="1"/>
    </xf>
    <xf numFmtId="2" fontId="34" fillId="9" borderId="36" xfId="0" applyNumberFormat="1" applyFont="1" applyFill="1" applyBorder="1" applyAlignment="1">
      <alignment horizontal="center" vertical="center" wrapText="1"/>
    </xf>
    <xf numFmtId="2" fontId="34" fillId="9" borderId="32" xfId="0" applyNumberFormat="1" applyFont="1" applyFill="1" applyBorder="1" applyAlignment="1">
      <alignment horizontal="center" vertical="center" wrapText="1"/>
    </xf>
    <xf numFmtId="0" fontId="16" fillId="3" borderId="8" xfId="0" applyFont="1" applyFill="1" applyBorder="1" applyAlignment="1">
      <alignment horizontal="center" vertical="center"/>
    </xf>
    <xf numFmtId="0" fontId="16" fillId="3" borderId="0" xfId="0" applyFont="1" applyFill="1" applyAlignment="1">
      <alignment horizontal="center" vertical="center"/>
    </xf>
    <xf numFmtId="0" fontId="8" fillId="4" borderId="15" xfId="0" applyFont="1" applyFill="1" applyBorder="1" applyAlignment="1">
      <alignment horizontal="center" vertical="center"/>
    </xf>
    <xf numFmtId="0" fontId="8" fillId="4" borderId="16" xfId="0" applyFont="1" applyFill="1" applyBorder="1" applyAlignment="1">
      <alignment horizontal="center" vertical="center"/>
    </xf>
    <xf numFmtId="0" fontId="8" fillId="4" borderId="17" xfId="0" applyFont="1" applyFill="1" applyBorder="1" applyAlignment="1">
      <alignment horizontal="center" vertical="center"/>
    </xf>
    <xf numFmtId="0" fontId="6" fillId="2" borderId="1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13"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13" xfId="0" applyFont="1" applyFill="1" applyBorder="1" applyAlignment="1">
      <alignment horizontal="center" vertical="center" wrapText="1"/>
    </xf>
    <xf numFmtId="0" fontId="7" fillId="2" borderId="14" xfId="0" applyFont="1" applyFill="1" applyBorder="1" applyAlignment="1">
      <alignment horizontal="left" vertical="center" wrapText="1" indent="1"/>
    </xf>
    <xf numFmtId="0" fontId="7" fillId="2" borderId="0" xfId="0" applyFont="1" applyFill="1" applyAlignment="1">
      <alignment horizontal="left" vertical="center" wrapText="1" indent="1"/>
    </xf>
    <xf numFmtId="0" fontId="8" fillId="4" borderId="0" xfId="0" applyFont="1" applyFill="1" applyAlignment="1">
      <alignment horizontal="center" vertical="center"/>
    </xf>
    <xf numFmtId="0" fontId="7" fillId="10" borderId="0" xfId="0" applyFont="1" applyFill="1" applyAlignment="1">
      <alignment horizontal="center" vertical="center"/>
    </xf>
    <xf numFmtId="0" fontId="7" fillId="10" borderId="13" xfId="0" applyFont="1" applyFill="1" applyBorder="1" applyAlignment="1">
      <alignment horizontal="center" vertical="center"/>
    </xf>
    <xf numFmtId="0" fontId="8" fillId="4" borderId="14" xfId="0" applyFont="1" applyFill="1" applyBorder="1" applyAlignment="1">
      <alignment horizontal="center" vertical="center"/>
    </xf>
    <xf numFmtId="0" fontId="8" fillId="4" borderId="13" xfId="0" applyFont="1" applyFill="1" applyBorder="1" applyAlignment="1">
      <alignment horizontal="center" vertical="center"/>
    </xf>
    <xf numFmtId="0" fontId="14" fillId="2" borderId="18" xfId="0" applyFont="1" applyFill="1" applyBorder="1" applyAlignment="1">
      <alignment horizontal="left" vertical="center" wrapText="1" indent="1"/>
    </xf>
    <xf numFmtId="0" fontId="14" fillId="2" borderId="19" xfId="0" applyFont="1" applyFill="1" applyBorder="1" applyAlignment="1">
      <alignment horizontal="left" vertical="center" wrapText="1" indent="1"/>
    </xf>
    <xf numFmtId="0" fontId="14" fillId="2" borderId="20" xfId="0" applyFont="1" applyFill="1" applyBorder="1" applyAlignment="1">
      <alignment horizontal="left" vertical="center" wrapText="1" indent="1"/>
    </xf>
    <xf numFmtId="0" fontId="14" fillId="2" borderId="14" xfId="0" applyFont="1" applyFill="1" applyBorder="1" applyAlignment="1">
      <alignment horizontal="left" vertical="center" wrapText="1" indent="1"/>
    </xf>
    <xf numFmtId="0" fontId="14" fillId="2" borderId="0" xfId="0" applyFont="1" applyFill="1" applyAlignment="1">
      <alignment horizontal="left" vertical="center" wrapText="1" indent="1"/>
    </xf>
    <xf numFmtId="0" fontId="14" fillId="2" borderId="13" xfId="0" applyFont="1" applyFill="1" applyBorder="1" applyAlignment="1">
      <alignment horizontal="left" vertical="center" wrapText="1" indent="1"/>
    </xf>
    <xf numFmtId="0" fontId="14" fillId="2" borderId="21" xfId="0" applyFont="1" applyFill="1" applyBorder="1" applyAlignment="1">
      <alignment horizontal="left" vertical="center" wrapText="1" indent="1"/>
    </xf>
    <xf numFmtId="0" fontId="14" fillId="2" borderId="22" xfId="0" applyFont="1" applyFill="1" applyBorder="1" applyAlignment="1">
      <alignment horizontal="left" vertical="center" wrapText="1" indent="1"/>
    </xf>
    <xf numFmtId="0" fontId="14" fillId="2" borderId="23" xfId="0" applyFont="1" applyFill="1" applyBorder="1" applyAlignment="1">
      <alignment horizontal="left" vertical="center" wrapText="1" indent="1"/>
    </xf>
    <xf numFmtId="0" fontId="7" fillId="2" borderId="14"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3" xfId="0" applyFont="1" applyFill="1" applyBorder="1" applyAlignment="1">
      <alignment horizontal="left" vertical="center" wrapText="1"/>
    </xf>
    <xf numFmtId="0" fontId="7" fillId="0" borderId="1" xfId="0" applyFont="1" applyBorder="1" applyAlignment="1">
      <alignment horizontal="left" vertical="center" wrapText="1" indent="1"/>
    </xf>
    <xf numFmtId="0" fontId="26" fillId="2" borderId="14" xfId="0" applyFont="1" applyFill="1" applyBorder="1" applyAlignment="1">
      <alignment horizontal="left" vertical="center" wrapText="1"/>
    </xf>
    <xf numFmtId="0" fontId="26" fillId="2" borderId="0" xfId="0" applyFont="1" applyFill="1" applyAlignment="1">
      <alignment horizontal="left" vertical="center" wrapText="1"/>
    </xf>
    <xf numFmtId="0" fontId="26" fillId="2" borderId="13" xfId="0" applyFont="1" applyFill="1" applyBorder="1" applyAlignment="1">
      <alignment horizontal="left" vertical="center" wrapText="1"/>
    </xf>
    <xf numFmtId="0" fontId="7" fillId="2" borderId="13" xfId="0" applyFont="1" applyFill="1" applyBorder="1" applyAlignment="1">
      <alignment horizontal="left" vertical="center" wrapText="1" indent="1"/>
    </xf>
    <xf numFmtId="0" fontId="17" fillId="2" borderId="14" xfId="0" applyFont="1" applyFill="1" applyBorder="1" applyAlignment="1">
      <alignment horizontal="left" vertical="center" wrapText="1" indent="1"/>
    </xf>
    <xf numFmtId="0" fontId="17" fillId="2" borderId="0" xfId="0" applyFont="1" applyFill="1" applyAlignment="1">
      <alignment horizontal="left" vertical="center" wrapText="1" indent="1"/>
    </xf>
    <xf numFmtId="0" fontId="6" fillId="2" borderId="14" xfId="0" applyFont="1" applyFill="1" applyBorder="1" applyAlignment="1">
      <alignment horizontal="left" vertical="center" wrapText="1"/>
    </xf>
    <xf numFmtId="0" fontId="6" fillId="2" borderId="0" xfId="0" applyFont="1" applyFill="1" applyAlignment="1">
      <alignment horizontal="left" vertical="center" wrapText="1"/>
    </xf>
    <xf numFmtId="0" fontId="6" fillId="2" borderId="14" xfId="0" applyFont="1" applyFill="1" applyBorder="1" applyAlignment="1">
      <alignment horizontal="left" vertical="center" wrapText="1" indent="1"/>
    </xf>
    <xf numFmtId="0" fontId="6" fillId="2" borderId="0" xfId="0" applyFont="1" applyFill="1" applyAlignment="1">
      <alignment horizontal="left" vertical="center" wrapText="1" indent="1"/>
    </xf>
    <xf numFmtId="0" fontId="8" fillId="4" borderId="24" xfId="0" applyFont="1" applyFill="1" applyBorder="1" applyAlignment="1">
      <alignment horizontal="center" vertical="center"/>
    </xf>
    <xf numFmtId="0" fontId="8" fillId="4" borderId="25" xfId="0" applyFont="1" applyFill="1" applyBorder="1" applyAlignment="1">
      <alignment horizontal="center" vertical="center"/>
    </xf>
    <xf numFmtId="0" fontId="8" fillId="4" borderId="26" xfId="0" applyFont="1" applyFill="1" applyBorder="1" applyAlignment="1">
      <alignment horizontal="center" vertical="center"/>
    </xf>
    <xf numFmtId="0" fontId="19" fillId="3" borderId="14"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13" xfId="0" applyFont="1" applyFill="1" applyBorder="1" applyAlignment="1">
      <alignment horizontal="center" vertical="center" wrapText="1"/>
    </xf>
    <xf numFmtId="0" fontId="28" fillId="8" borderId="1" xfId="0" applyFont="1" applyFill="1" applyBorder="1" applyAlignment="1">
      <alignment horizontal="center" vertical="center"/>
    </xf>
    <xf numFmtId="0" fontId="8" fillId="4" borderId="0" xfId="0" applyFont="1" applyFill="1" applyAlignment="1">
      <alignment horizontal="center" vertical="center" wrapText="1"/>
    </xf>
    <xf numFmtId="0" fontId="9" fillId="0" borderId="1" xfId="0" applyFont="1" applyBorder="1" applyAlignment="1">
      <alignment horizontal="left" vertical="center" wrapText="1" indent="1"/>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4" xfId="0" applyFont="1" applyFill="1" applyBorder="1" applyAlignment="1">
      <alignment horizontal="center" vertical="center"/>
    </xf>
    <xf numFmtId="0" fontId="27" fillId="9" borderId="0" xfId="0" applyFont="1" applyFill="1" applyAlignment="1">
      <alignment horizontal="center" vertical="center"/>
    </xf>
    <xf numFmtId="0" fontId="7" fillId="0" borderId="0" xfId="0" applyFont="1" applyAlignment="1">
      <alignment horizontal="left" vertical="center" wrapText="1" indent="1"/>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7" fillId="0" borderId="8" xfId="0" applyFont="1" applyBorder="1" applyAlignment="1">
      <alignment horizontal="center"/>
    </xf>
    <xf numFmtId="0" fontId="7" fillId="0" borderId="0" xfId="0" applyFont="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8" fillId="4" borderId="5" xfId="0" applyFont="1" applyFill="1" applyBorder="1" applyAlignment="1">
      <alignment horizontal="left" vertical="center" indent="1"/>
    </xf>
    <xf numFmtId="0" fontId="8" fillId="4" borderId="7" xfId="0" applyFont="1" applyFill="1" applyBorder="1" applyAlignment="1">
      <alignment horizontal="left" vertical="center" indent="1"/>
    </xf>
    <xf numFmtId="0" fontId="7" fillId="0" borderId="1" xfId="0" applyFont="1" applyBorder="1" applyAlignment="1">
      <alignment horizontal="center" vertical="center" wrapText="1"/>
    </xf>
    <xf numFmtId="0" fontId="6" fillId="7" borderId="1" xfId="0" applyFont="1" applyFill="1" applyBorder="1" applyAlignment="1">
      <alignment horizontal="left" vertical="center" indent="1"/>
    </xf>
    <xf numFmtId="0" fontId="8" fillId="4" borderId="8" xfId="0" applyFont="1" applyFill="1" applyBorder="1" applyAlignment="1">
      <alignment horizontal="center" vertical="center"/>
    </xf>
    <xf numFmtId="0" fontId="8" fillId="4" borderId="11" xfId="0" applyFont="1" applyFill="1" applyBorder="1" applyAlignment="1">
      <alignment horizontal="left" vertical="center" indent="1"/>
    </xf>
    <xf numFmtId="0" fontId="27" fillId="9" borderId="7" xfId="0" applyFont="1" applyFill="1" applyBorder="1" applyAlignment="1">
      <alignment horizontal="center" vertical="center"/>
    </xf>
    <xf numFmtId="0" fontId="7" fillId="0" borderId="1" xfId="0" applyFont="1" applyBorder="1" applyAlignment="1">
      <alignment horizontal="center" vertical="center"/>
    </xf>
    <xf numFmtId="0" fontId="27" fillId="8" borderId="10" xfId="0" applyFont="1" applyFill="1" applyBorder="1" applyAlignment="1">
      <alignment horizontal="center" vertical="center"/>
    </xf>
    <xf numFmtId="0" fontId="27" fillId="8" borderId="11" xfId="0" applyFont="1" applyFill="1" applyBorder="1" applyAlignment="1">
      <alignment horizontal="center" vertical="center"/>
    </xf>
    <xf numFmtId="0" fontId="7" fillId="0" borderId="8" xfId="0" applyFont="1" applyBorder="1" applyAlignment="1">
      <alignment horizontal="left" vertical="center" wrapText="1" indent="1"/>
    </xf>
    <xf numFmtId="0" fontId="8" fillId="4" borderId="0" xfId="0" applyFont="1" applyFill="1" applyAlignment="1">
      <alignment horizontal="left" vertical="center" indent="1"/>
    </xf>
    <xf numFmtId="9" fontId="27" fillId="9" borderId="8" xfId="1" applyFont="1" applyFill="1" applyBorder="1" applyAlignment="1">
      <alignment horizontal="center" vertical="center" wrapText="1"/>
    </xf>
    <xf numFmtId="9" fontId="27" fillId="9" borderId="9" xfId="1" applyFont="1" applyFill="1" applyBorder="1" applyAlignment="1">
      <alignment horizontal="center" vertical="center" wrapText="1"/>
    </xf>
    <xf numFmtId="0" fontId="22" fillId="9" borderId="5" xfId="0" applyFont="1" applyFill="1" applyBorder="1" applyAlignment="1">
      <alignment horizontal="left" vertical="center" wrapText="1" indent="1"/>
    </xf>
    <xf numFmtId="0" fontId="22" fillId="9" borderId="6" xfId="0" applyFont="1" applyFill="1" applyBorder="1" applyAlignment="1">
      <alignment horizontal="left" vertical="center" wrapText="1" indent="1"/>
    </xf>
    <xf numFmtId="0" fontId="22" fillId="9" borderId="39" xfId="0" applyFont="1" applyFill="1" applyBorder="1" applyAlignment="1">
      <alignment horizontal="left" vertical="center" wrapText="1" indent="1"/>
    </xf>
    <xf numFmtId="0" fontId="22" fillId="9" borderId="40" xfId="0" applyFont="1" applyFill="1" applyBorder="1" applyAlignment="1">
      <alignment horizontal="left" vertical="center" wrapText="1" indent="1"/>
    </xf>
    <xf numFmtId="0" fontId="21" fillId="11" borderId="41" xfId="0" applyFont="1" applyFill="1" applyBorder="1" applyAlignment="1">
      <alignment horizontal="center" vertical="center" wrapText="1"/>
    </xf>
    <xf numFmtId="0" fontId="21" fillId="11" borderId="31" xfId="0" applyFont="1" applyFill="1" applyBorder="1" applyAlignment="1">
      <alignment horizontal="center" vertical="center" wrapText="1"/>
    </xf>
    <xf numFmtId="0" fontId="21" fillId="11" borderId="38" xfId="0" applyFont="1" applyFill="1" applyBorder="1" applyAlignment="1">
      <alignment horizontal="center" vertical="center" wrapText="1"/>
    </xf>
    <xf numFmtId="0" fontId="22" fillId="9" borderId="42" xfId="0" applyFont="1" applyFill="1" applyBorder="1" applyAlignment="1">
      <alignment horizontal="left" vertical="center" wrapText="1" indent="1"/>
    </xf>
    <xf numFmtId="0" fontId="22" fillId="9" borderId="43" xfId="0" applyFont="1" applyFill="1" applyBorder="1" applyAlignment="1">
      <alignment horizontal="left" vertical="center" wrapText="1" indent="1"/>
    </xf>
    <xf numFmtId="0" fontId="22" fillId="9" borderId="10" xfId="0" applyFont="1" applyFill="1" applyBorder="1" applyAlignment="1">
      <alignment horizontal="left" vertical="center" wrapText="1" indent="1"/>
    </xf>
    <xf numFmtId="0" fontId="22" fillId="9" borderId="12" xfId="0" applyFont="1" applyFill="1" applyBorder="1" applyAlignment="1">
      <alignment horizontal="left" vertical="center" wrapText="1" indent="1"/>
    </xf>
    <xf numFmtId="0" fontId="21" fillId="11" borderId="30" xfId="0" applyFont="1" applyFill="1" applyBorder="1" applyAlignment="1">
      <alignment horizontal="center" vertical="center" wrapText="1"/>
    </xf>
    <xf numFmtId="0" fontId="21" fillId="11" borderId="33" xfId="0" applyFont="1" applyFill="1" applyBorder="1" applyAlignment="1">
      <alignment horizontal="center" vertical="center" wrapText="1"/>
    </xf>
    <xf numFmtId="0" fontId="22" fillId="9" borderId="34" xfId="0" applyFont="1" applyFill="1" applyBorder="1" applyAlignment="1">
      <alignment horizontal="left" vertical="center" wrapText="1" indent="1"/>
    </xf>
    <xf numFmtId="0" fontId="22" fillId="9" borderId="35" xfId="0" applyFont="1" applyFill="1" applyBorder="1" applyAlignment="1">
      <alignment horizontal="left" vertical="center" wrapText="1" indent="1"/>
    </xf>
    <xf numFmtId="0" fontId="20" fillId="4" borderId="4" xfId="0" applyFont="1" applyFill="1" applyBorder="1" applyAlignment="1">
      <alignment horizontal="center" vertical="center" textRotation="90"/>
    </xf>
    <xf numFmtId="0" fontId="20" fillId="4" borderId="9" xfId="0" applyFont="1" applyFill="1" applyBorder="1" applyAlignment="1">
      <alignment horizontal="center" vertical="center" textRotation="90"/>
    </xf>
    <xf numFmtId="0" fontId="21" fillId="11" borderId="47" xfId="0" applyFont="1" applyFill="1" applyBorder="1" applyAlignment="1">
      <alignment horizontal="center" vertical="center" wrapText="1"/>
    </xf>
    <xf numFmtId="0" fontId="8" fillId="4" borderId="0" xfId="0" applyFont="1" applyFill="1" applyAlignment="1">
      <alignment horizontal="center" vertical="top" wrapText="1"/>
    </xf>
    <xf numFmtId="0" fontId="8" fillId="4" borderId="0" xfId="0" applyFont="1" applyFill="1" applyAlignment="1">
      <alignment horizontal="center" vertical="top"/>
    </xf>
    <xf numFmtId="0" fontId="9" fillId="6" borderId="5" xfId="0" applyFont="1" applyFill="1" applyBorder="1" applyAlignment="1">
      <alignment horizontal="center" vertical="center"/>
    </xf>
    <xf numFmtId="0" fontId="9" fillId="6" borderId="7" xfId="0" applyFont="1" applyFill="1" applyBorder="1" applyAlignment="1">
      <alignment horizontal="center" vertical="center"/>
    </xf>
    <xf numFmtId="0" fontId="9" fillId="6" borderId="6" xfId="0" applyFont="1" applyFill="1" applyBorder="1" applyAlignment="1">
      <alignment horizontal="center" vertical="center"/>
    </xf>
    <xf numFmtId="0" fontId="22" fillId="9" borderId="45" xfId="0" applyFont="1" applyFill="1" applyBorder="1" applyAlignment="1">
      <alignment horizontal="left" vertical="center" wrapText="1" indent="1"/>
    </xf>
    <xf numFmtId="0" fontId="22" fillId="9" borderId="46" xfId="0" applyFont="1" applyFill="1" applyBorder="1" applyAlignment="1">
      <alignment horizontal="left" vertical="center" wrapText="1" indent="1"/>
    </xf>
  </cellXfs>
  <cellStyles count="3">
    <cellStyle name="Hipervínculo" xfId="2" builtinId="8"/>
    <cellStyle name="Normal" xfId="0" builtinId="0"/>
    <cellStyle name="Porcentaje" xfId="1" builtinId="5"/>
  </cellStyles>
  <dxfs count="54">
    <dxf>
      <font>
        <color theme="0"/>
      </font>
      <fill>
        <patternFill>
          <bgColor rgb="FFC00000"/>
        </patternFill>
      </fill>
    </dxf>
    <dxf>
      <font>
        <color rgb="FF9C0006"/>
      </font>
      <fill>
        <patternFill>
          <bgColor rgb="FFFFC7CE"/>
        </patternFill>
      </fill>
    </dxf>
    <dxf>
      <font>
        <b/>
        <i val="0"/>
        <color theme="0"/>
      </font>
      <fill>
        <patternFill>
          <bgColor rgb="FFC00000"/>
        </patternFill>
      </fill>
    </dxf>
    <dxf>
      <font>
        <b/>
        <i val="0"/>
        <color theme="0"/>
      </font>
      <fill>
        <patternFill>
          <bgColor rgb="FFFFC000"/>
        </patternFill>
      </fill>
    </dxf>
    <dxf>
      <font>
        <b/>
        <i val="0"/>
        <color theme="0"/>
      </font>
      <fill>
        <patternFill>
          <bgColor theme="4" tint="0.39994506668294322"/>
        </patternFill>
      </fill>
    </dxf>
    <dxf>
      <font>
        <b/>
        <i val="0"/>
        <color theme="0"/>
      </font>
      <fill>
        <patternFill>
          <bgColor rgb="FF00B050"/>
        </patternFill>
      </fill>
    </dxf>
    <dxf>
      <font>
        <b/>
        <i val="0"/>
        <color theme="0"/>
      </font>
      <fill>
        <patternFill>
          <bgColor rgb="FF92D050"/>
        </patternFill>
      </fill>
    </dxf>
    <dxf>
      <font>
        <color theme="0"/>
      </font>
    </dxf>
    <dxf>
      <font>
        <b val="0"/>
        <i val="0"/>
        <color theme="0"/>
      </font>
      <fill>
        <patternFill>
          <bgColor rgb="FFC00000"/>
        </patternFill>
      </fill>
    </dxf>
    <dxf>
      <font>
        <color rgb="FF9C0006"/>
      </font>
      <fill>
        <patternFill>
          <bgColor rgb="FFFFC7CE"/>
        </patternFill>
      </fill>
    </dxf>
    <dxf>
      <font>
        <color theme="0"/>
      </font>
      <fill>
        <patternFill>
          <bgColor rgb="FFC00000"/>
        </patternFill>
      </fill>
    </dxf>
    <dxf>
      <font>
        <color theme="0"/>
      </font>
      <fill>
        <patternFill>
          <bgColor rgb="FFC00000"/>
        </patternFill>
      </fill>
    </dxf>
    <dxf>
      <font>
        <color rgb="FF162B47"/>
      </font>
      <fill>
        <patternFill>
          <bgColor theme="0" tint="-4.9989318521683403E-2"/>
        </patternFill>
      </fill>
    </dxf>
    <dxf>
      <font>
        <color rgb="FF162B47"/>
      </font>
      <fill>
        <patternFill>
          <bgColor theme="0" tint="-4.9989318521683403E-2"/>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rgb="FF162B47"/>
      </font>
      <fill>
        <patternFill>
          <bgColor theme="0" tint="-4.9989318521683403E-2"/>
        </patternFill>
      </fill>
    </dxf>
    <dxf>
      <font>
        <color rgb="FF162B47"/>
      </font>
      <fill>
        <patternFill>
          <bgColor theme="0" tint="-4.9989318521683403E-2"/>
        </patternFill>
      </fill>
    </dxf>
    <dxf>
      <font>
        <color rgb="FF162B47"/>
      </font>
      <fill>
        <patternFill>
          <bgColor theme="0" tint="-4.9989318521683403E-2"/>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rgb="FF162B47"/>
      </font>
      <fill>
        <patternFill>
          <bgColor theme="0" tint="-4.9989318521683403E-2"/>
        </patternFill>
      </fill>
    </dxf>
    <dxf>
      <font>
        <color rgb="FF162B47"/>
      </font>
      <fill>
        <patternFill>
          <bgColor theme="0" tint="-4.9989318521683403E-2"/>
        </patternFill>
      </fill>
    </dxf>
    <dxf>
      <font>
        <color rgb="FF162B47"/>
      </font>
      <fill>
        <patternFill>
          <bgColor theme="0" tint="-4.9989318521683403E-2"/>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rgb="FF162B47"/>
      </font>
      <fill>
        <patternFill>
          <bgColor theme="0" tint="-4.9989318521683403E-2"/>
        </patternFill>
      </fill>
    </dxf>
    <dxf>
      <font>
        <color rgb="FF162B47"/>
      </font>
      <fill>
        <patternFill>
          <bgColor theme="0" tint="-4.9989318521683403E-2"/>
        </patternFill>
      </fill>
    </dxf>
    <dxf>
      <font>
        <color rgb="FF162B47"/>
      </font>
      <fill>
        <patternFill>
          <bgColor theme="0" tint="-4.9989318521683403E-2"/>
        </patternFill>
      </fill>
    </dxf>
    <dxf>
      <font>
        <color rgb="FF162B47"/>
      </font>
      <fill>
        <patternFill>
          <bgColor theme="0" tint="-4.9989318521683403E-2"/>
        </patternFill>
      </fill>
    </dxf>
    <dxf>
      <font>
        <color rgb="FF162B47"/>
      </font>
      <fill>
        <patternFill>
          <bgColor theme="0" tint="-4.9989318521683403E-2"/>
        </patternFill>
      </fill>
    </dxf>
    <dxf>
      <font>
        <color theme="0"/>
      </font>
      <fill>
        <patternFill>
          <bgColor rgb="FFC00000"/>
        </patternFill>
      </fill>
    </dxf>
    <dxf>
      <font>
        <color theme="0"/>
      </font>
      <fill>
        <patternFill>
          <bgColor rgb="FFC00000"/>
        </patternFill>
      </fill>
    </dxf>
    <dxf>
      <font>
        <color rgb="FF162B47"/>
      </font>
      <fill>
        <patternFill>
          <bgColor theme="0" tint="-4.9989318521683403E-2"/>
        </patternFill>
      </fill>
    </dxf>
    <dxf>
      <font>
        <color rgb="FF162B47"/>
      </font>
      <fill>
        <patternFill>
          <bgColor theme="0" tint="-4.9989318521683403E-2"/>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rgb="FF162B47"/>
      </font>
      <fill>
        <patternFill>
          <bgColor theme="0" tint="-4.9989318521683403E-2"/>
        </patternFill>
      </fill>
    </dxf>
    <dxf>
      <font>
        <color rgb="FF162B47"/>
      </font>
      <fill>
        <patternFill>
          <bgColor theme="0" tint="-4.9989318521683403E-2"/>
        </patternFill>
      </fill>
    </dxf>
    <dxf>
      <font>
        <color rgb="FF162B47"/>
      </font>
      <fill>
        <patternFill>
          <bgColor theme="0" tint="-4.9989318521683403E-2"/>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rgb="FF162B47"/>
      </font>
      <fill>
        <patternFill>
          <bgColor theme="0" tint="-4.9989318521683403E-2"/>
        </patternFill>
      </fill>
    </dxf>
    <dxf>
      <font>
        <color rgb="FF162B47"/>
      </font>
      <fill>
        <patternFill>
          <bgColor theme="0" tint="-4.9989318521683403E-2"/>
        </patternFill>
      </fill>
    </dxf>
    <dxf>
      <font>
        <color rgb="FF162B47"/>
      </font>
      <fill>
        <patternFill>
          <bgColor theme="0" tint="-4.9989318521683403E-2"/>
        </patternFill>
      </fill>
    </dxf>
    <dxf>
      <font>
        <color rgb="FF162B47"/>
      </font>
      <fill>
        <patternFill>
          <bgColor theme="0" tint="-4.9989318521683403E-2"/>
        </patternFill>
      </fill>
    </dxf>
  </dxfs>
  <tableStyles count="1" defaultTableStyle="TableStyleMedium2" defaultPivotStyle="PivotStyleLight16">
    <tableStyle name="Invisible" pivot="0" table="0" count="0" xr9:uid="{00000000-0011-0000-FFFF-FFFF00000000}"/>
  </tableStyles>
  <colors>
    <mruColors>
      <color rgb="FF162B47"/>
      <color rgb="FFEEF5FC"/>
      <color rgb="FFCAD9EE"/>
      <color rgb="FFFCFCFE"/>
      <color rgb="FFB6C12D"/>
      <color rgb="FFF5F7DD"/>
      <color rgb="FF9DA626"/>
      <color rgb="FFE0E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manualLayout>
          <c:layoutTarget val="inner"/>
          <c:xMode val="edge"/>
          <c:yMode val="edge"/>
          <c:x val="0.15020979248148461"/>
          <c:y val="0.20753498718047492"/>
          <c:w val="0.69654710668866093"/>
          <c:h val="0.65309411018520669"/>
        </c:manualLayout>
      </c:layout>
      <c:radarChart>
        <c:radarStyle val="marker"/>
        <c:varyColors val="0"/>
        <c:ser>
          <c:idx val="0"/>
          <c:order val="0"/>
          <c:tx>
            <c:strRef>
              <c:f>Gráfico!$E$12</c:f>
              <c:strCache>
                <c:ptCount val="1"/>
                <c:pt idx="0">
                  <c:v>Nivel actual</c:v>
                </c:pt>
              </c:strCache>
            </c:strRef>
          </c:tx>
          <c:spPr>
            <a:ln w="28575" cap="rnd">
              <a:solidFill>
                <a:schemeClr val="accent2"/>
              </a:solidFill>
              <a:round/>
            </a:ln>
            <a:effectLst>
              <a:outerShdw blurRad="50800" dist="38100" dir="2700000" algn="tl" rotWithShape="0">
                <a:prstClr val="black">
                  <a:alpha val="40000"/>
                </a:prstClr>
              </a:outerShdw>
            </a:effectLst>
          </c:spPr>
          <c:marker>
            <c:symbol val="none"/>
          </c:marker>
          <c:dLbls>
            <c:dLbl>
              <c:idx val="0"/>
              <c:layout>
                <c:manualLayout>
                  <c:x val="0.14111125000000008"/>
                  <c:y val="1.234568201265724E-2"/>
                </c:manualLayout>
              </c:layout>
              <c:showLegendKey val="0"/>
              <c:showVal val="0"/>
              <c:showCatName val="1"/>
              <c:showSerName val="0"/>
              <c:showPercent val="0"/>
              <c:showBubbleSize val="0"/>
              <c:extLst>
                <c:ext xmlns:c15="http://schemas.microsoft.com/office/drawing/2012/chart" uri="{CE6537A1-D6FC-4f65-9D91-7224C49458BB}">
                  <c15:layout>
                    <c:manualLayout>
                      <c:w val="0.28338638888888884"/>
                      <c:h val="0.1787810291584109"/>
                    </c:manualLayout>
                  </c15:layout>
                </c:ext>
                <c:ext xmlns:c16="http://schemas.microsoft.com/office/drawing/2014/chart" uri="{C3380CC4-5D6E-409C-BE32-E72D297353CC}">
                  <c16:uniqueId val="{00000000-783D-404B-8940-F68BDE05D5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Gráfico!$C$20:$C$21</c:f>
              <c:strCache>
                <c:ptCount val="2"/>
                <c:pt idx="0">
                  <c:v>Acciones para abordar riesgos y oportunidades</c:v>
                </c:pt>
                <c:pt idx="1">
                  <c:v>Objetivos de Seguridad de la Información y planificación para alcanzarlos</c:v>
                </c:pt>
              </c:strCache>
            </c:strRef>
          </c:cat>
          <c:val>
            <c:numRef>
              <c:f>Gráfico!$E$20:$E$21</c:f>
              <c:numCache>
                <c:formatCode>0.00</c:formatCode>
                <c:ptCount val="2"/>
                <c:pt idx="0">
                  <c:v>2</c:v>
                </c:pt>
                <c:pt idx="1">
                  <c:v>2</c:v>
                </c:pt>
              </c:numCache>
            </c:numRef>
          </c:val>
          <c:extLst>
            <c:ext xmlns:c16="http://schemas.microsoft.com/office/drawing/2014/chart" uri="{C3380CC4-5D6E-409C-BE32-E72D297353CC}">
              <c16:uniqueId val="{00000000-E242-409C-A7D1-C19B0FB4EEB4}"/>
            </c:ext>
          </c:extLst>
        </c:ser>
        <c:ser>
          <c:idx val="1"/>
          <c:order val="1"/>
          <c:tx>
            <c:strRef>
              <c:f>Gráfico!$F$12</c:f>
              <c:strCache>
                <c:ptCount val="1"/>
                <c:pt idx="0">
                  <c:v>Objetivo</c:v>
                </c:pt>
              </c:strCache>
            </c:strRef>
          </c:tx>
          <c:spPr>
            <a:ln w="9525" cap="rnd">
              <a:solidFill>
                <a:srgbClr val="162B47"/>
              </a:solidFill>
              <a:prstDash val="sysDash"/>
              <a:round/>
            </a:ln>
            <a:effectLst/>
          </c:spPr>
          <c:marker>
            <c:symbol val="none"/>
          </c:marker>
          <c:dLbls>
            <c:delete val="1"/>
          </c:dLbls>
          <c:cat>
            <c:strRef>
              <c:f>Gráfico!$C$20:$C$21</c:f>
              <c:strCache>
                <c:ptCount val="2"/>
                <c:pt idx="0">
                  <c:v>Acciones para abordar riesgos y oportunidades</c:v>
                </c:pt>
                <c:pt idx="1">
                  <c:v>Objetivos de Seguridad de la Información y planificación para alcanzarlos</c:v>
                </c:pt>
              </c:strCache>
            </c:strRef>
          </c:cat>
          <c:val>
            <c:numRef>
              <c:f>Gráfico!$F$20:$F$21</c:f>
              <c:numCache>
                <c:formatCode>0.00</c:formatCode>
                <c:ptCount val="2"/>
                <c:pt idx="0">
                  <c:v>4</c:v>
                </c:pt>
                <c:pt idx="1">
                  <c:v>4</c:v>
                </c:pt>
              </c:numCache>
            </c:numRef>
          </c:val>
          <c:extLst>
            <c:ext xmlns:c16="http://schemas.microsoft.com/office/drawing/2014/chart" uri="{C3380CC4-5D6E-409C-BE32-E72D297353CC}">
              <c16:uniqueId val="{00000001-E242-409C-A7D1-C19B0FB4EEB4}"/>
            </c:ext>
          </c:extLst>
        </c:ser>
        <c:dLbls>
          <c:showLegendKey val="0"/>
          <c:showVal val="1"/>
          <c:showCatName val="0"/>
          <c:showSerName val="0"/>
          <c:showPercent val="0"/>
          <c:showBubbleSize val="0"/>
        </c:dLbls>
        <c:axId val="883266543"/>
        <c:axId val="883243503"/>
      </c:radarChart>
      <c:catAx>
        <c:axId val="883266543"/>
        <c:scaling>
          <c:orientation val="minMax"/>
        </c:scaling>
        <c:delete val="1"/>
        <c:axPos val="b"/>
        <c:numFmt formatCode="General" sourceLinked="1"/>
        <c:majorTickMark val="none"/>
        <c:minorTickMark val="none"/>
        <c:tickLblPos val="nextTo"/>
        <c:crossAx val="883243503"/>
        <c:crosses val="autoZero"/>
        <c:auto val="1"/>
        <c:lblAlgn val="r"/>
        <c:lblOffset val="100"/>
        <c:noMultiLvlLbl val="0"/>
      </c:catAx>
      <c:valAx>
        <c:axId val="883243503"/>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883266543"/>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manualLayout>
          <c:layoutTarget val="inner"/>
          <c:xMode val="edge"/>
          <c:yMode val="edge"/>
          <c:x val="0.15020979248148461"/>
          <c:y val="0.20753498718047492"/>
          <c:w val="0.69654710668866093"/>
          <c:h val="0.65309411018520669"/>
        </c:manualLayout>
      </c:layout>
      <c:radarChart>
        <c:radarStyle val="marker"/>
        <c:varyColors val="0"/>
        <c:ser>
          <c:idx val="0"/>
          <c:order val="0"/>
          <c:tx>
            <c:strRef>
              <c:f>Gráfico!$E$12</c:f>
              <c:strCache>
                <c:ptCount val="1"/>
                <c:pt idx="0">
                  <c:v>Nivel actual</c:v>
                </c:pt>
              </c:strCache>
            </c:strRef>
          </c:tx>
          <c:spPr>
            <a:ln w="28575" cap="rnd">
              <a:solidFill>
                <a:schemeClr val="accent2"/>
              </a:solidFill>
              <a:round/>
            </a:ln>
            <a:effectLst>
              <a:outerShdw blurRad="50800" dist="38100" dir="2700000" algn="tl" rotWithShape="0">
                <a:prstClr val="black">
                  <a:alpha val="40000"/>
                </a:prst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Gráfico!$C$17:$C$19</c:f>
              <c:strCache>
                <c:ptCount val="3"/>
                <c:pt idx="0">
                  <c:v>Liderazgo y compromiso</c:v>
                </c:pt>
                <c:pt idx="1">
                  <c:v>Política</c:v>
                </c:pt>
                <c:pt idx="2">
                  <c:v>Funciones, responsabilidades y autoridades de la organización</c:v>
                </c:pt>
              </c:strCache>
            </c:strRef>
          </c:cat>
          <c:val>
            <c:numRef>
              <c:f>Gráfico!$E$17:$E$19</c:f>
              <c:numCache>
                <c:formatCode>0.00</c:formatCode>
                <c:ptCount val="3"/>
                <c:pt idx="0">
                  <c:v>2</c:v>
                </c:pt>
                <c:pt idx="1">
                  <c:v>3</c:v>
                </c:pt>
                <c:pt idx="2">
                  <c:v>2</c:v>
                </c:pt>
              </c:numCache>
            </c:numRef>
          </c:val>
          <c:extLst>
            <c:ext xmlns:c16="http://schemas.microsoft.com/office/drawing/2014/chart" uri="{C3380CC4-5D6E-409C-BE32-E72D297353CC}">
              <c16:uniqueId val="{00000002-2273-4B5A-B666-7CFFF9C31997}"/>
            </c:ext>
          </c:extLst>
        </c:ser>
        <c:ser>
          <c:idx val="1"/>
          <c:order val="1"/>
          <c:tx>
            <c:strRef>
              <c:f>Gráfico!$F$12</c:f>
              <c:strCache>
                <c:ptCount val="1"/>
                <c:pt idx="0">
                  <c:v>Objetivo</c:v>
                </c:pt>
              </c:strCache>
            </c:strRef>
          </c:tx>
          <c:spPr>
            <a:ln w="9525" cap="rnd">
              <a:solidFill>
                <a:srgbClr val="162B47"/>
              </a:solidFill>
              <a:prstDash val="sysDash"/>
              <a:round/>
            </a:ln>
            <a:effectLst/>
          </c:spPr>
          <c:marker>
            <c:symbol val="none"/>
          </c:marker>
          <c:dLbls>
            <c:delete val="1"/>
          </c:dLbls>
          <c:cat>
            <c:strRef>
              <c:f>Gráfico!$C$17:$C$19</c:f>
              <c:strCache>
                <c:ptCount val="3"/>
                <c:pt idx="0">
                  <c:v>Liderazgo y compromiso</c:v>
                </c:pt>
                <c:pt idx="1">
                  <c:v>Política</c:v>
                </c:pt>
                <c:pt idx="2">
                  <c:v>Funciones, responsabilidades y autoridades de la organización</c:v>
                </c:pt>
              </c:strCache>
            </c:strRef>
          </c:cat>
          <c:val>
            <c:numRef>
              <c:f>Gráfico!$F$17:$F$19</c:f>
              <c:numCache>
                <c:formatCode>0.00</c:formatCode>
                <c:ptCount val="3"/>
                <c:pt idx="0">
                  <c:v>4</c:v>
                </c:pt>
                <c:pt idx="1">
                  <c:v>4</c:v>
                </c:pt>
                <c:pt idx="2">
                  <c:v>4</c:v>
                </c:pt>
              </c:numCache>
            </c:numRef>
          </c:val>
          <c:extLst>
            <c:ext xmlns:c16="http://schemas.microsoft.com/office/drawing/2014/chart" uri="{C3380CC4-5D6E-409C-BE32-E72D297353CC}">
              <c16:uniqueId val="{00000003-2273-4B5A-B666-7CFFF9C31997}"/>
            </c:ext>
          </c:extLst>
        </c:ser>
        <c:dLbls>
          <c:showLegendKey val="0"/>
          <c:showVal val="1"/>
          <c:showCatName val="0"/>
          <c:showSerName val="0"/>
          <c:showPercent val="0"/>
          <c:showBubbleSize val="0"/>
        </c:dLbls>
        <c:axId val="883266543"/>
        <c:axId val="883243503"/>
      </c:radarChart>
      <c:catAx>
        <c:axId val="883266543"/>
        <c:scaling>
          <c:orientation val="minMax"/>
        </c:scaling>
        <c:delete val="1"/>
        <c:axPos val="b"/>
        <c:numFmt formatCode="General" sourceLinked="1"/>
        <c:majorTickMark val="none"/>
        <c:minorTickMark val="none"/>
        <c:tickLblPos val="nextTo"/>
        <c:crossAx val="883243503"/>
        <c:crosses val="autoZero"/>
        <c:auto val="1"/>
        <c:lblAlgn val="r"/>
        <c:lblOffset val="100"/>
        <c:noMultiLvlLbl val="0"/>
      </c:catAx>
      <c:valAx>
        <c:axId val="883243503"/>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883266543"/>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manualLayout>
          <c:layoutTarget val="inner"/>
          <c:xMode val="edge"/>
          <c:yMode val="edge"/>
          <c:x val="0.15020979248148461"/>
          <c:y val="0.20753498718047492"/>
          <c:w val="0.69654710668866093"/>
          <c:h val="0.65309411018520669"/>
        </c:manualLayout>
      </c:layout>
      <c:radarChart>
        <c:radarStyle val="marker"/>
        <c:varyColors val="0"/>
        <c:ser>
          <c:idx val="0"/>
          <c:order val="0"/>
          <c:tx>
            <c:strRef>
              <c:f>Gráfico!$E$12</c:f>
              <c:strCache>
                <c:ptCount val="1"/>
                <c:pt idx="0">
                  <c:v>Nivel actual</c:v>
                </c:pt>
              </c:strCache>
            </c:strRef>
          </c:tx>
          <c:spPr>
            <a:ln w="28575" cap="rnd">
              <a:solidFill>
                <a:schemeClr val="accent2"/>
              </a:solidFill>
              <a:prstDash val="solid"/>
              <a:round/>
              <a:headEnd type="none" w="med" len="med"/>
              <a:tailEnd type="none" w="med" len="med"/>
            </a:ln>
            <a:effectLst>
              <a:outerShdw blurRad="50800" dist="38100" dir="2700000" algn="tl" rotWithShape="0">
                <a:prstClr val="black">
                  <a:alpha val="40000"/>
                </a:prstClr>
              </a:outerShdw>
            </a:effectLst>
          </c:spPr>
          <c:marker>
            <c:symbol val="none"/>
          </c:marker>
          <c:dLbls>
            <c:dLbl>
              <c:idx val="0"/>
              <c:layout>
                <c:manualLayout>
                  <c:x val="-7.2805133048514298E-2"/>
                  <c:y val="3.697595376012533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CD-4CA1-A2E5-93F8AFD414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Gráfico!$C$13:$C$16</c:f>
              <c:strCache>
                <c:ptCount val="4"/>
                <c:pt idx="0">
                  <c:v>Entender la organización y su contexto</c:v>
                </c:pt>
                <c:pt idx="1">
                  <c:v>Comprender las necesidades y expectativas de las partes interesadas</c:v>
                </c:pt>
                <c:pt idx="2">
                  <c:v>Determinación del alcance del sistema de gestión de seguridad de la información</c:v>
                </c:pt>
                <c:pt idx="3">
                  <c:v>Sistema de gestión de seguridad de la información</c:v>
                </c:pt>
              </c:strCache>
            </c:strRef>
          </c:cat>
          <c:val>
            <c:numRef>
              <c:f>Gráfico!$E$13:$E$16</c:f>
              <c:numCache>
                <c:formatCode>0.00</c:formatCode>
                <c:ptCount val="4"/>
                <c:pt idx="0">
                  <c:v>2</c:v>
                </c:pt>
                <c:pt idx="1">
                  <c:v>3</c:v>
                </c:pt>
                <c:pt idx="2">
                  <c:v>3</c:v>
                </c:pt>
                <c:pt idx="3">
                  <c:v>2</c:v>
                </c:pt>
              </c:numCache>
            </c:numRef>
          </c:val>
          <c:extLst>
            <c:ext xmlns:c16="http://schemas.microsoft.com/office/drawing/2014/chart" uri="{C3380CC4-5D6E-409C-BE32-E72D297353CC}">
              <c16:uniqueId val="{00000000-47B2-41E5-9B15-02353906CDEC}"/>
            </c:ext>
          </c:extLst>
        </c:ser>
        <c:ser>
          <c:idx val="1"/>
          <c:order val="1"/>
          <c:tx>
            <c:strRef>
              <c:f>Gráfico!$F$12</c:f>
              <c:strCache>
                <c:ptCount val="1"/>
                <c:pt idx="0">
                  <c:v>Objetivo</c:v>
                </c:pt>
              </c:strCache>
            </c:strRef>
          </c:tx>
          <c:spPr>
            <a:ln w="9525" cap="rnd">
              <a:solidFill>
                <a:srgbClr val="162B47"/>
              </a:solidFill>
              <a:prstDash val="sysDash"/>
              <a:round/>
            </a:ln>
            <a:effectLst/>
          </c:spPr>
          <c:marker>
            <c:symbol val="none"/>
          </c:marker>
          <c:dLbls>
            <c:delete val="1"/>
          </c:dLbls>
          <c:cat>
            <c:strRef>
              <c:f>Gráfico!$C$13:$C$16</c:f>
              <c:strCache>
                <c:ptCount val="4"/>
                <c:pt idx="0">
                  <c:v>Entender la organización y su contexto</c:v>
                </c:pt>
                <c:pt idx="1">
                  <c:v>Comprender las necesidades y expectativas de las partes interesadas</c:v>
                </c:pt>
                <c:pt idx="2">
                  <c:v>Determinación del alcance del sistema de gestión de seguridad de la información</c:v>
                </c:pt>
                <c:pt idx="3">
                  <c:v>Sistema de gestión de seguridad de la información</c:v>
                </c:pt>
              </c:strCache>
            </c:strRef>
          </c:cat>
          <c:val>
            <c:numRef>
              <c:f>Gráfico!$F$13:$F$16</c:f>
              <c:numCache>
                <c:formatCode>0.00</c:formatCode>
                <c:ptCount val="4"/>
                <c:pt idx="0">
                  <c:v>4</c:v>
                </c:pt>
                <c:pt idx="1">
                  <c:v>4</c:v>
                </c:pt>
                <c:pt idx="2">
                  <c:v>4</c:v>
                </c:pt>
                <c:pt idx="3">
                  <c:v>4</c:v>
                </c:pt>
              </c:numCache>
            </c:numRef>
          </c:val>
          <c:extLst>
            <c:ext xmlns:c16="http://schemas.microsoft.com/office/drawing/2014/chart" uri="{C3380CC4-5D6E-409C-BE32-E72D297353CC}">
              <c16:uniqueId val="{00000001-47B2-41E5-9B15-02353906CDEC}"/>
            </c:ext>
          </c:extLst>
        </c:ser>
        <c:dLbls>
          <c:showLegendKey val="0"/>
          <c:showVal val="1"/>
          <c:showCatName val="0"/>
          <c:showSerName val="0"/>
          <c:showPercent val="0"/>
          <c:showBubbleSize val="0"/>
        </c:dLbls>
        <c:axId val="883266543"/>
        <c:axId val="883243503"/>
      </c:radarChart>
      <c:catAx>
        <c:axId val="883266543"/>
        <c:scaling>
          <c:orientation val="minMax"/>
        </c:scaling>
        <c:delete val="1"/>
        <c:axPos val="b"/>
        <c:numFmt formatCode="General" sourceLinked="1"/>
        <c:majorTickMark val="none"/>
        <c:minorTickMark val="none"/>
        <c:tickLblPos val="nextTo"/>
        <c:crossAx val="883243503"/>
        <c:crosses val="autoZero"/>
        <c:auto val="1"/>
        <c:lblAlgn val="r"/>
        <c:lblOffset val="100"/>
        <c:noMultiLvlLbl val="0"/>
      </c:catAx>
      <c:valAx>
        <c:axId val="883243503"/>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883266543"/>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manualLayout>
          <c:layoutTarget val="inner"/>
          <c:xMode val="edge"/>
          <c:yMode val="edge"/>
          <c:x val="0.15020979248148461"/>
          <c:y val="0.20753498718047492"/>
          <c:w val="0.69654710668866093"/>
          <c:h val="0.65309411018520669"/>
        </c:manualLayout>
      </c:layout>
      <c:radarChart>
        <c:radarStyle val="marker"/>
        <c:varyColors val="0"/>
        <c:ser>
          <c:idx val="0"/>
          <c:order val="0"/>
          <c:tx>
            <c:strRef>
              <c:f>Gráfico!$E$12</c:f>
              <c:strCache>
                <c:ptCount val="1"/>
                <c:pt idx="0">
                  <c:v>Nivel actual</c:v>
                </c:pt>
              </c:strCache>
            </c:strRef>
          </c:tx>
          <c:spPr>
            <a:ln w="28575" cap="rnd">
              <a:solidFill>
                <a:schemeClr val="accent2"/>
              </a:solidFill>
              <a:round/>
            </a:ln>
            <a:effectLst>
              <a:outerShdw blurRad="50800" dist="38100" dir="2700000" algn="tl" rotWithShape="0">
                <a:prstClr val="black">
                  <a:alpha val="40000"/>
                </a:prstClr>
              </a:outerShdw>
            </a:effectLst>
          </c:spPr>
          <c:marker>
            <c:symbol val="none"/>
          </c:marker>
          <c:dLbls>
            <c:dLbl>
              <c:idx val="0"/>
              <c:layout>
                <c:manualLayout>
                  <c:x val="0.13122522099726194"/>
                  <c:y val="6.1500429922613932E-2"/>
                </c:manualLayout>
              </c:layout>
              <c:showLegendKey val="0"/>
              <c:showVal val="0"/>
              <c:showCatName val="1"/>
              <c:showSerName val="0"/>
              <c:showPercent val="0"/>
              <c:showBubbleSize val="0"/>
              <c:extLst>
                <c:ext xmlns:c15="http://schemas.microsoft.com/office/drawing/2012/chart" uri="{CE6537A1-D6FC-4f65-9D91-7224C49458BB}">
                  <c15:layout>
                    <c:manualLayout>
                      <c:w val="0.2095228699001529"/>
                      <c:h val="0.14238511512372218"/>
                    </c:manualLayout>
                  </c15:layout>
                </c:ext>
                <c:ext xmlns:c16="http://schemas.microsoft.com/office/drawing/2014/chart" uri="{C3380CC4-5D6E-409C-BE32-E72D297353CC}">
                  <c16:uniqueId val="{00000002-D107-43BC-9316-5A3542C4E6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Gráfico!$C$30:$C$32</c:f>
              <c:strCache>
                <c:ptCount val="3"/>
                <c:pt idx="0">
                  <c:v>Seguimiento, medición, análisis y evaluación</c:v>
                </c:pt>
                <c:pt idx="1">
                  <c:v>Auditoría Interna</c:v>
                </c:pt>
                <c:pt idx="2">
                  <c:v>Revisión por la dirección</c:v>
                </c:pt>
              </c:strCache>
            </c:strRef>
          </c:cat>
          <c:val>
            <c:numRef>
              <c:f>Gráfico!$E$30:$E$32</c:f>
              <c:numCache>
                <c:formatCode>0.00</c:formatCode>
                <c:ptCount val="3"/>
                <c:pt idx="0">
                  <c:v>3</c:v>
                </c:pt>
                <c:pt idx="1">
                  <c:v>2</c:v>
                </c:pt>
                <c:pt idx="2">
                  <c:v>2</c:v>
                </c:pt>
              </c:numCache>
            </c:numRef>
          </c:val>
          <c:extLst>
            <c:ext xmlns:c16="http://schemas.microsoft.com/office/drawing/2014/chart" uri="{C3380CC4-5D6E-409C-BE32-E72D297353CC}">
              <c16:uniqueId val="{00000000-D107-43BC-9316-5A3542C4E608}"/>
            </c:ext>
          </c:extLst>
        </c:ser>
        <c:ser>
          <c:idx val="1"/>
          <c:order val="1"/>
          <c:tx>
            <c:strRef>
              <c:f>Gráfico!$F$12</c:f>
              <c:strCache>
                <c:ptCount val="1"/>
                <c:pt idx="0">
                  <c:v>Objetivo</c:v>
                </c:pt>
              </c:strCache>
            </c:strRef>
          </c:tx>
          <c:spPr>
            <a:ln w="12700" cap="rnd">
              <a:solidFill>
                <a:srgbClr val="162B47"/>
              </a:solidFill>
              <a:prstDash val="sysDash"/>
              <a:round/>
            </a:ln>
            <a:effectLst/>
          </c:spPr>
          <c:marker>
            <c:symbol val="none"/>
          </c:marker>
          <c:dLbls>
            <c:delete val="1"/>
          </c:dLbls>
          <c:cat>
            <c:strRef>
              <c:f>Gráfico!$C$30:$C$32</c:f>
              <c:strCache>
                <c:ptCount val="3"/>
                <c:pt idx="0">
                  <c:v>Seguimiento, medición, análisis y evaluación</c:v>
                </c:pt>
                <c:pt idx="1">
                  <c:v>Auditoría Interna</c:v>
                </c:pt>
                <c:pt idx="2">
                  <c:v>Revisión por la dirección</c:v>
                </c:pt>
              </c:strCache>
            </c:strRef>
          </c:cat>
          <c:val>
            <c:numRef>
              <c:f>Gráfico!$F$30:$F$32</c:f>
              <c:numCache>
                <c:formatCode>0.00</c:formatCode>
                <c:ptCount val="3"/>
                <c:pt idx="0">
                  <c:v>4</c:v>
                </c:pt>
                <c:pt idx="1">
                  <c:v>4</c:v>
                </c:pt>
                <c:pt idx="2">
                  <c:v>4</c:v>
                </c:pt>
              </c:numCache>
            </c:numRef>
          </c:val>
          <c:extLst>
            <c:ext xmlns:c16="http://schemas.microsoft.com/office/drawing/2014/chart" uri="{C3380CC4-5D6E-409C-BE32-E72D297353CC}">
              <c16:uniqueId val="{00000001-D107-43BC-9316-5A3542C4E608}"/>
            </c:ext>
          </c:extLst>
        </c:ser>
        <c:dLbls>
          <c:showLegendKey val="0"/>
          <c:showVal val="1"/>
          <c:showCatName val="0"/>
          <c:showSerName val="0"/>
          <c:showPercent val="0"/>
          <c:showBubbleSize val="0"/>
        </c:dLbls>
        <c:axId val="883266543"/>
        <c:axId val="883243503"/>
      </c:radarChart>
      <c:catAx>
        <c:axId val="883266543"/>
        <c:scaling>
          <c:orientation val="minMax"/>
        </c:scaling>
        <c:delete val="1"/>
        <c:axPos val="b"/>
        <c:numFmt formatCode="General" sourceLinked="1"/>
        <c:majorTickMark val="none"/>
        <c:minorTickMark val="none"/>
        <c:tickLblPos val="nextTo"/>
        <c:crossAx val="883243503"/>
        <c:crosses val="autoZero"/>
        <c:auto val="1"/>
        <c:lblAlgn val="r"/>
        <c:lblOffset val="100"/>
        <c:noMultiLvlLbl val="0"/>
      </c:catAx>
      <c:valAx>
        <c:axId val="883243503"/>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883266543"/>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manualLayout>
          <c:layoutTarget val="inner"/>
          <c:xMode val="edge"/>
          <c:yMode val="edge"/>
          <c:x val="0.15020979248148461"/>
          <c:y val="0.20753498718047492"/>
          <c:w val="0.69654710668866093"/>
          <c:h val="0.65309411018520669"/>
        </c:manualLayout>
      </c:layout>
      <c:radarChart>
        <c:radarStyle val="marker"/>
        <c:varyColors val="0"/>
        <c:ser>
          <c:idx val="0"/>
          <c:order val="0"/>
          <c:tx>
            <c:strRef>
              <c:f>Gráfico!$E$12</c:f>
              <c:strCache>
                <c:ptCount val="1"/>
                <c:pt idx="0">
                  <c:v>Nivel actual</c:v>
                </c:pt>
              </c:strCache>
            </c:strRef>
          </c:tx>
          <c:spPr>
            <a:ln w="28575" cap="rnd">
              <a:solidFill>
                <a:schemeClr val="accent2"/>
              </a:solidFill>
              <a:round/>
            </a:ln>
            <a:effectLst>
              <a:outerShdw blurRad="50800" dist="38100" dir="2700000" algn="tl" rotWithShape="0">
                <a:prstClr val="black">
                  <a:alpha val="40000"/>
                </a:prstClr>
              </a:outerShdw>
            </a:effectLst>
          </c:spPr>
          <c:marker>
            <c:symbol val="none"/>
          </c:marker>
          <c:dLbls>
            <c:dLbl>
              <c:idx val="1"/>
              <c:layout>
                <c:manualLayout>
                  <c:x val="7.8866003922370448E-2"/>
                  <c:y val="-3.0333428871693094E-3"/>
                </c:manualLayout>
              </c:layout>
              <c:showLegendKey val="0"/>
              <c:showVal val="0"/>
              <c:showCatName val="1"/>
              <c:showSerName val="0"/>
              <c:showPercent val="0"/>
              <c:showBubbleSize val="0"/>
              <c:extLst>
                <c:ext xmlns:c15="http://schemas.microsoft.com/office/drawing/2012/chart" uri="{CE6537A1-D6FC-4f65-9D91-7224C49458BB}">
                  <c15:layout>
                    <c:manualLayout>
                      <c:w val="0.22503099785849703"/>
                      <c:h val="0.14238511512372218"/>
                    </c:manualLayout>
                  </c15:layout>
                </c:ext>
                <c:ext xmlns:c16="http://schemas.microsoft.com/office/drawing/2014/chart" uri="{C3380CC4-5D6E-409C-BE32-E72D297353CC}">
                  <c16:uniqueId val="{00000002-9DBA-440C-A711-854A45B08C4B}"/>
                </c:ext>
              </c:extLst>
            </c:dLbl>
            <c:dLbl>
              <c:idx val="2"/>
              <c:layout>
                <c:manualLayout>
                  <c:x val="-4.3814446623539172E-2"/>
                  <c:y val="6.0666857743382858E-3"/>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BA-440C-A711-854A45B08C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Gráfico!$C$27:$C$29</c:f>
              <c:strCache>
                <c:ptCount val="3"/>
                <c:pt idx="0">
                  <c:v>Planificación y control operativo</c:v>
                </c:pt>
                <c:pt idx="1">
                  <c:v>Evaluación de riesgos de Seguridad de la Información</c:v>
                </c:pt>
                <c:pt idx="2">
                  <c:v>Tratamiento de riesgos de Seguridad de la Información</c:v>
                </c:pt>
              </c:strCache>
            </c:strRef>
          </c:cat>
          <c:val>
            <c:numRef>
              <c:f>Gráfico!$E$27:$E$29</c:f>
              <c:numCache>
                <c:formatCode>0.00</c:formatCode>
                <c:ptCount val="3"/>
                <c:pt idx="0">
                  <c:v>2</c:v>
                </c:pt>
                <c:pt idx="1">
                  <c:v>2</c:v>
                </c:pt>
                <c:pt idx="2">
                  <c:v>2</c:v>
                </c:pt>
              </c:numCache>
            </c:numRef>
          </c:val>
          <c:extLst>
            <c:ext xmlns:c16="http://schemas.microsoft.com/office/drawing/2014/chart" uri="{C3380CC4-5D6E-409C-BE32-E72D297353CC}">
              <c16:uniqueId val="{00000000-9DBA-440C-A711-854A45B08C4B}"/>
            </c:ext>
          </c:extLst>
        </c:ser>
        <c:ser>
          <c:idx val="1"/>
          <c:order val="1"/>
          <c:tx>
            <c:strRef>
              <c:f>Gráfico!$F$12</c:f>
              <c:strCache>
                <c:ptCount val="1"/>
                <c:pt idx="0">
                  <c:v>Objetivo</c:v>
                </c:pt>
              </c:strCache>
            </c:strRef>
          </c:tx>
          <c:spPr>
            <a:ln w="9525" cap="rnd">
              <a:solidFill>
                <a:srgbClr val="162B47"/>
              </a:solidFill>
              <a:prstDash val="sysDash"/>
              <a:round/>
            </a:ln>
            <a:effectLst/>
          </c:spPr>
          <c:marker>
            <c:symbol val="none"/>
          </c:marker>
          <c:dLbls>
            <c:delete val="1"/>
          </c:dLbls>
          <c:cat>
            <c:strRef>
              <c:f>Gráfico!$C$27:$C$29</c:f>
              <c:strCache>
                <c:ptCount val="3"/>
                <c:pt idx="0">
                  <c:v>Planificación y control operativo</c:v>
                </c:pt>
                <c:pt idx="1">
                  <c:v>Evaluación de riesgos de Seguridad de la Información</c:v>
                </c:pt>
                <c:pt idx="2">
                  <c:v>Tratamiento de riesgos de Seguridad de la Información</c:v>
                </c:pt>
              </c:strCache>
            </c:strRef>
          </c:cat>
          <c:val>
            <c:numRef>
              <c:f>Gráfico!$F$27:$F$29</c:f>
              <c:numCache>
                <c:formatCode>0.00</c:formatCode>
                <c:ptCount val="3"/>
                <c:pt idx="0">
                  <c:v>4</c:v>
                </c:pt>
                <c:pt idx="1">
                  <c:v>4</c:v>
                </c:pt>
                <c:pt idx="2">
                  <c:v>4</c:v>
                </c:pt>
              </c:numCache>
            </c:numRef>
          </c:val>
          <c:extLst>
            <c:ext xmlns:c16="http://schemas.microsoft.com/office/drawing/2014/chart" uri="{C3380CC4-5D6E-409C-BE32-E72D297353CC}">
              <c16:uniqueId val="{00000001-9DBA-440C-A711-854A45B08C4B}"/>
            </c:ext>
          </c:extLst>
        </c:ser>
        <c:dLbls>
          <c:showLegendKey val="0"/>
          <c:showVal val="1"/>
          <c:showCatName val="0"/>
          <c:showSerName val="0"/>
          <c:showPercent val="0"/>
          <c:showBubbleSize val="0"/>
        </c:dLbls>
        <c:axId val="883266543"/>
        <c:axId val="883243503"/>
      </c:radarChart>
      <c:catAx>
        <c:axId val="883266543"/>
        <c:scaling>
          <c:orientation val="minMax"/>
        </c:scaling>
        <c:delete val="1"/>
        <c:axPos val="b"/>
        <c:numFmt formatCode="General" sourceLinked="1"/>
        <c:majorTickMark val="none"/>
        <c:minorTickMark val="none"/>
        <c:tickLblPos val="nextTo"/>
        <c:crossAx val="883243503"/>
        <c:crosses val="autoZero"/>
        <c:auto val="1"/>
        <c:lblAlgn val="r"/>
        <c:lblOffset val="100"/>
        <c:noMultiLvlLbl val="0"/>
      </c:catAx>
      <c:valAx>
        <c:axId val="883243503"/>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883266543"/>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manualLayout>
          <c:layoutTarget val="inner"/>
          <c:xMode val="edge"/>
          <c:yMode val="edge"/>
          <c:x val="0.15020979248148461"/>
          <c:y val="0.20753498718047492"/>
          <c:w val="0.69654710668866093"/>
          <c:h val="0.65309411018520669"/>
        </c:manualLayout>
      </c:layout>
      <c:radarChart>
        <c:radarStyle val="marker"/>
        <c:varyColors val="0"/>
        <c:ser>
          <c:idx val="0"/>
          <c:order val="0"/>
          <c:tx>
            <c:strRef>
              <c:f>Gráfico!$E$12</c:f>
              <c:strCache>
                <c:ptCount val="1"/>
                <c:pt idx="0">
                  <c:v>Nivel actual</c:v>
                </c:pt>
              </c:strCache>
            </c:strRef>
          </c:tx>
          <c:spPr>
            <a:ln w="28575" cap="rnd">
              <a:solidFill>
                <a:schemeClr val="accent2"/>
              </a:solidFill>
              <a:round/>
            </a:ln>
            <a:effectLst>
              <a:outerShdw blurRad="50800" dist="38100" dir="2700000" algn="tl" rotWithShape="0">
                <a:prstClr val="black">
                  <a:alpha val="40000"/>
                </a:prst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Gráfico!$C$22:$C$26</c:f>
              <c:strCache>
                <c:ptCount val="5"/>
                <c:pt idx="0">
                  <c:v>Recursos</c:v>
                </c:pt>
                <c:pt idx="1">
                  <c:v>Competencia</c:v>
                </c:pt>
                <c:pt idx="2">
                  <c:v>Conciencia</c:v>
                </c:pt>
                <c:pt idx="3">
                  <c:v>Comunicación</c:v>
                </c:pt>
                <c:pt idx="4">
                  <c:v>Información documentada</c:v>
                </c:pt>
              </c:strCache>
            </c:strRef>
          </c:cat>
          <c:val>
            <c:numRef>
              <c:f>Gráfico!$E$22:$E$26</c:f>
              <c:numCache>
                <c:formatCode>0.00</c:formatCode>
                <c:ptCount val="5"/>
                <c:pt idx="0">
                  <c:v>3</c:v>
                </c:pt>
                <c:pt idx="1">
                  <c:v>3</c:v>
                </c:pt>
                <c:pt idx="2">
                  <c:v>2</c:v>
                </c:pt>
                <c:pt idx="3">
                  <c:v>3</c:v>
                </c:pt>
                <c:pt idx="4">
                  <c:v>2</c:v>
                </c:pt>
              </c:numCache>
            </c:numRef>
          </c:val>
          <c:extLst>
            <c:ext xmlns:c16="http://schemas.microsoft.com/office/drawing/2014/chart" uri="{C3380CC4-5D6E-409C-BE32-E72D297353CC}">
              <c16:uniqueId val="{00000001-D451-4F58-832F-266176292DC3}"/>
            </c:ext>
          </c:extLst>
        </c:ser>
        <c:ser>
          <c:idx val="1"/>
          <c:order val="1"/>
          <c:tx>
            <c:strRef>
              <c:f>Gráfico!$F$12</c:f>
              <c:strCache>
                <c:ptCount val="1"/>
                <c:pt idx="0">
                  <c:v>Objetivo</c:v>
                </c:pt>
              </c:strCache>
            </c:strRef>
          </c:tx>
          <c:spPr>
            <a:ln w="15875" cap="rnd">
              <a:solidFill>
                <a:srgbClr val="162B47"/>
              </a:solidFill>
              <a:prstDash val="sysDot"/>
              <a:round/>
            </a:ln>
            <a:effectLst/>
          </c:spPr>
          <c:marker>
            <c:symbol val="none"/>
          </c:marker>
          <c:dLbls>
            <c:delete val="1"/>
          </c:dLbls>
          <c:cat>
            <c:strRef>
              <c:f>Gráfico!$C$22:$C$26</c:f>
              <c:strCache>
                <c:ptCount val="5"/>
                <c:pt idx="0">
                  <c:v>Recursos</c:v>
                </c:pt>
                <c:pt idx="1">
                  <c:v>Competencia</c:v>
                </c:pt>
                <c:pt idx="2">
                  <c:v>Conciencia</c:v>
                </c:pt>
                <c:pt idx="3">
                  <c:v>Comunicación</c:v>
                </c:pt>
                <c:pt idx="4">
                  <c:v>Información documentada</c:v>
                </c:pt>
              </c:strCache>
            </c:strRef>
          </c:cat>
          <c:val>
            <c:numRef>
              <c:f>Gráfico!$F$22:$F$26</c:f>
              <c:numCache>
                <c:formatCode>0.00</c:formatCode>
                <c:ptCount val="5"/>
                <c:pt idx="0">
                  <c:v>4</c:v>
                </c:pt>
                <c:pt idx="1">
                  <c:v>4</c:v>
                </c:pt>
                <c:pt idx="2">
                  <c:v>4</c:v>
                </c:pt>
                <c:pt idx="3">
                  <c:v>4</c:v>
                </c:pt>
                <c:pt idx="4">
                  <c:v>4</c:v>
                </c:pt>
              </c:numCache>
            </c:numRef>
          </c:val>
          <c:extLst>
            <c:ext xmlns:c16="http://schemas.microsoft.com/office/drawing/2014/chart" uri="{C3380CC4-5D6E-409C-BE32-E72D297353CC}">
              <c16:uniqueId val="{00000002-D451-4F58-832F-266176292DC3}"/>
            </c:ext>
          </c:extLst>
        </c:ser>
        <c:dLbls>
          <c:showLegendKey val="0"/>
          <c:showVal val="1"/>
          <c:showCatName val="0"/>
          <c:showSerName val="0"/>
          <c:showPercent val="0"/>
          <c:showBubbleSize val="0"/>
        </c:dLbls>
        <c:axId val="883266543"/>
        <c:axId val="883243503"/>
      </c:radarChart>
      <c:catAx>
        <c:axId val="883266543"/>
        <c:scaling>
          <c:orientation val="minMax"/>
        </c:scaling>
        <c:delete val="1"/>
        <c:axPos val="b"/>
        <c:numFmt formatCode="General" sourceLinked="1"/>
        <c:majorTickMark val="none"/>
        <c:minorTickMark val="none"/>
        <c:tickLblPos val="nextTo"/>
        <c:crossAx val="883243503"/>
        <c:crosses val="autoZero"/>
        <c:auto val="1"/>
        <c:lblAlgn val="r"/>
        <c:lblOffset val="100"/>
        <c:noMultiLvlLbl val="0"/>
      </c:catAx>
      <c:valAx>
        <c:axId val="883243503"/>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883266543"/>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manualLayout>
          <c:layoutTarget val="inner"/>
          <c:xMode val="edge"/>
          <c:yMode val="edge"/>
          <c:x val="0.15020979248148461"/>
          <c:y val="0.20753498718047492"/>
          <c:w val="0.69654710668866093"/>
          <c:h val="0.65309411018520669"/>
        </c:manualLayout>
      </c:layout>
      <c:radarChart>
        <c:radarStyle val="marker"/>
        <c:varyColors val="0"/>
        <c:ser>
          <c:idx val="0"/>
          <c:order val="0"/>
          <c:tx>
            <c:strRef>
              <c:f>Gráfico!$E$12</c:f>
              <c:strCache>
                <c:ptCount val="1"/>
                <c:pt idx="0">
                  <c:v>Nivel actual</c:v>
                </c:pt>
              </c:strCache>
            </c:strRef>
          </c:tx>
          <c:spPr>
            <a:ln w="28575" cap="rnd">
              <a:solidFill>
                <a:schemeClr val="accent2"/>
              </a:solidFill>
              <a:round/>
            </a:ln>
            <a:effectLst>
              <a:outerShdw blurRad="50800" dist="38100" dir="2700000" algn="tl" rotWithShape="0">
                <a:prstClr val="black">
                  <a:alpha val="40000"/>
                </a:prst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Gráfico!$C$33:$C$34</c:f>
              <c:strCache>
                <c:ptCount val="2"/>
                <c:pt idx="0">
                  <c:v>Mejora continua</c:v>
                </c:pt>
                <c:pt idx="1">
                  <c:v>No conformidad y acción correctiva</c:v>
                </c:pt>
              </c:strCache>
            </c:strRef>
          </c:cat>
          <c:val>
            <c:numRef>
              <c:f>Gráfico!$E$33:$E$34</c:f>
              <c:numCache>
                <c:formatCode>0.00</c:formatCode>
                <c:ptCount val="2"/>
                <c:pt idx="0">
                  <c:v>2</c:v>
                </c:pt>
                <c:pt idx="1">
                  <c:v>2</c:v>
                </c:pt>
              </c:numCache>
            </c:numRef>
          </c:val>
          <c:extLst>
            <c:ext xmlns:c16="http://schemas.microsoft.com/office/drawing/2014/chart" uri="{C3380CC4-5D6E-409C-BE32-E72D297353CC}">
              <c16:uniqueId val="{00000001-3E61-44DF-856C-A3E149F8A99C}"/>
            </c:ext>
          </c:extLst>
        </c:ser>
        <c:ser>
          <c:idx val="1"/>
          <c:order val="1"/>
          <c:tx>
            <c:strRef>
              <c:f>Gráfico!$F$12</c:f>
              <c:strCache>
                <c:ptCount val="1"/>
                <c:pt idx="0">
                  <c:v>Objetivo</c:v>
                </c:pt>
              </c:strCache>
            </c:strRef>
          </c:tx>
          <c:spPr>
            <a:ln w="12700" cap="rnd">
              <a:solidFill>
                <a:srgbClr val="162B47"/>
              </a:solidFill>
              <a:prstDash val="sysDash"/>
              <a:round/>
            </a:ln>
            <a:effectLst/>
          </c:spPr>
          <c:marker>
            <c:symbol val="none"/>
          </c:marker>
          <c:dLbls>
            <c:delete val="1"/>
          </c:dLbls>
          <c:cat>
            <c:strRef>
              <c:f>Gráfico!$C$33:$C$34</c:f>
              <c:strCache>
                <c:ptCount val="2"/>
                <c:pt idx="0">
                  <c:v>Mejora continua</c:v>
                </c:pt>
                <c:pt idx="1">
                  <c:v>No conformidad y acción correctiva</c:v>
                </c:pt>
              </c:strCache>
            </c:strRef>
          </c:cat>
          <c:val>
            <c:numRef>
              <c:f>Gráfico!$F$33:$F$34</c:f>
              <c:numCache>
                <c:formatCode>0.00</c:formatCode>
                <c:ptCount val="2"/>
                <c:pt idx="0">
                  <c:v>4</c:v>
                </c:pt>
                <c:pt idx="1">
                  <c:v>4</c:v>
                </c:pt>
              </c:numCache>
            </c:numRef>
          </c:val>
          <c:extLst>
            <c:ext xmlns:c16="http://schemas.microsoft.com/office/drawing/2014/chart" uri="{C3380CC4-5D6E-409C-BE32-E72D297353CC}">
              <c16:uniqueId val="{00000002-3E61-44DF-856C-A3E149F8A99C}"/>
            </c:ext>
          </c:extLst>
        </c:ser>
        <c:dLbls>
          <c:showLegendKey val="0"/>
          <c:showVal val="1"/>
          <c:showCatName val="0"/>
          <c:showSerName val="0"/>
          <c:showPercent val="0"/>
          <c:showBubbleSize val="0"/>
        </c:dLbls>
        <c:axId val="883266543"/>
        <c:axId val="883243503"/>
      </c:radarChart>
      <c:catAx>
        <c:axId val="883266543"/>
        <c:scaling>
          <c:orientation val="minMax"/>
        </c:scaling>
        <c:delete val="1"/>
        <c:axPos val="b"/>
        <c:numFmt formatCode="General" sourceLinked="1"/>
        <c:majorTickMark val="none"/>
        <c:minorTickMark val="none"/>
        <c:tickLblPos val="nextTo"/>
        <c:crossAx val="883243503"/>
        <c:crosses val="autoZero"/>
        <c:auto val="1"/>
        <c:lblAlgn val="r"/>
        <c:lblOffset val="100"/>
        <c:noMultiLvlLbl val="0"/>
      </c:catAx>
      <c:valAx>
        <c:axId val="883243503"/>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883266543"/>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fmlaLink="G17" lockText="1" noThreeD="1"/>
</file>

<file path=xl/ctrlProps/ctrlProp2.xml><?xml version="1.0" encoding="utf-8"?>
<formControlPr xmlns="http://schemas.microsoft.com/office/spreadsheetml/2009/9/main" objectType="CheckBox" checked="Checked" fmlaLink="G18" lockText="1" noThreeD="1"/>
</file>

<file path=xl/ctrlProps/ctrlProp3.xml><?xml version="1.0" encoding="utf-8"?>
<formControlPr xmlns="http://schemas.microsoft.com/office/spreadsheetml/2009/9/main" objectType="CheckBox" fmlaLink="G19" lockText="1" noThreeD="1"/>
</file>

<file path=xl/ctrlProps/ctrlProp4.xml><?xml version="1.0" encoding="utf-8"?>
<formControlPr xmlns="http://schemas.microsoft.com/office/spreadsheetml/2009/9/main" objectType="CheckBox" fmlaLink="$G$20" lockText="1" noThreeD="1"/>
</file>

<file path=xl/ctrlProps/ctrlProp5.xml><?xml version="1.0" encoding="utf-8"?>
<formControlPr xmlns="http://schemas.microsoft.com/office/spreadsheetml/2009/9/main" objectType="CheckBox" fmlaLink="G35" lockText="1" noThreeD="1"/>
</file>

<file path=xl/ctrlProps/ctrlProp6.xml><?xml version="1.0" encoding="utf-8"?>
<formControlPr xmlns="http://schemas.microsoft.com/office/spreadsheetml/2009/9/main" objectType="CheckBox" checked="Checked" fmlaLink="G36" lockText="1" noThreeD="1"/>
</file>

<file path=xl/ctrlProps/ctrlProp7.xml><?xml version="1.0" encoding="utf-8"?>
<formControlPr xmlns="http://schemas.microsoft.com/office/spreadsheetml/2009/9/main" objectType="CheckBox" fmlaLink="G37" lockText="1" noThreeD="1"/>
</file>

<file path=xl/ctrlProps/ctrlProp8.xml><?xml version="1.0" encoding="utf-8"?>
<formControlPr xmlns="http://schemas.microsoft.com/office/spreadsheetml/2009/9/main" objectType="CheckBox" fmlaLink="$G$38" lockText="1" noThreeD="1"/>
</file>

<file path=xl/ctrlProps/ctrlProp9.xml><?xml version="1.0" encoding="utf-8"?>
<formControlPr xmlns="http://schemas.microsoft.com/office/spreadsheetml/2009/9/main" objectType="CheckBox" fmlaLink="G29" lockText="1" noThreeD="1"/>
</file>

<file path=xl/ctrlProps/ctrlProp10.xml><?xml version="1.0" encoding="utf-8"?>
<formControlPr xmlns="http://schemas.microsoft.com/office/spreadsheetml/2009/9/main" objectType="CheckBox" fmlaLink="G30" lockText="1" noThreeD="1"/>
</file>

<file path=xl/ctrlProps/ctrlProp11.xml><?xml version="1.0" encoding="utf-8"?>
<formControlPr xmlns="http://schemas.microsoft.com/office/spreadsheetml/2009/9/main" objectType="CheckBox" checked="Checked" fmlaLink="G31" lockText="1" noThreeD="1"/>
</file>

<file path=xl/ctrlProps/ctrlProp12.xml><?xml version="1.0" encoding="utf-8"?>
<formControlPr xmlns="http://schemas.microsoft.com/office/spreadsheetml/2009/9/main" objectType="CheckBox" fmlaLink="$G$32" lockText="1" noThreeD="1"/>
</file>

<file path=xl/ctrlProps/ctrlProp13.xml><?xml version="1.0" encoding="utf-8"?>
<formControlPr xmlns="http://schemas.microsoft.com/office/spreadsheetml/2009/9/main" objectType="CheckBox" fmlaLink="G23" lockText="1" noThreeD="1"/>
</file>

<file path=xl/ctrlProps/ctrlProp14.xml><?xml version="1.0" encoding="utf-8"?>
<formControlPr xmlns="http://schemas.microsoft.com/office/spreadsheetml/2009/9/main" objectType="CheckBox" fmlaLink="G24" lockText="1" noThreeD="1"/>
</file>

<file path=xl/ctrlProps/ctrlProp15.xml><?xml version="1.0" encoding="utf-8"?>
<formControlPr xmlns="http://schemas.microsoft.com/office/spreadsheetml/2009/9/main" objectType="CheckBox" checked="Checked" fmlaLink="G25" lockText="1" noThreeD="1"/>
</file>

<file path=xl/ctrlProps/ctrlProp16.xml><?xml version="1.0" encoding="utf-8"?>
<formControlPr xmlns="http://schemas.microsoft.com/office/spreadsheetml/2009/9/main" objectType="CheckBox" fmlaLink="$G$26" lockText="1" noThreeD="1"/>
</file>

<file path=xl/ctrlProps/ctrlProp17.xml><?xml version="1.0" encoding="utf-8"?>
<formControlPr xmlns="http://schemas.microsoft.com/office/spreadsheetml/2009/9/main" objectType="CheckBox" fmlaLink="G17" lockText="1" noThreeD="1"/>
</file>

<file path=xl/ctrlProps/ctrlProp18.xml><?xml version="1.0" encoding="utf-8"?>
<formControlPr xmlns="http://schemas.microsoft.com/office/spreadsheetml/2009/9/main" objectType="CheckBox" checked="Checked" fmlaLink="G18" lockText="1" noThreeD="1"/>
</file>

<file path=xl/ctrlProps/ctrlProp19.xml><?xml version="1.0" encoding="utf-8"?>
<formControlPr xmlns="http://schemas.microsoft.com/office/spreadsheetml/2009/9/main" objectType="CheckBox" fmlaLink="G19" lockText="1" noThreeD="1"/>
</file>

<file path=xl/ctrlProps/ctrlProp20.xml><?xml version="1.0" encoding="utf-8"?>
<formControlPr xmlns="http://schemas.microsoft.com/office/spreadsheetml/2009/9/main" objectType="CheckBox" fmlaLink="$G$20" lockText="1" noThreeD="1"/>
</file>

<file path=xl/ctrlProps/ctrlProp21.xml><?xml version="1.0" encoding="utf-8"?>
<formControlPr xmlns="http://schemas.microsoft.com/office/spreadsheetml/2009/9/main" objectType="CheckBox" fmlaLink="G29" lockText="1" noThreeD="1"/>
</file>

<file path=xl/ctrlProps/ctrlProp22.xml><?xml version="1.0" encoding="utf-8"?>
<formControlPr xmlns="http://schemas.microsoft.com/office/spreadsheetml/2009/9/main" objectType="CheckBox" checked="Checked" fmlaLink="G30" lockText="1" noThreeD="1"/>
</file>

<file path=xl/ctrlProps/ctrlProp23.xml><?xml version="1.0" encoding="utf-8"?>
<formControlPr xmlns="http://schemas.microsoft.com/office/spreadsheetml/2009/9/main" objectType="CheckBox" fmlaLink="G31" lockText="1" noThreeD="1"/>
</file>

<file path=xl/ctrlProps/ctrlProp24.xml><?xml version="1.0" encoding="utf-8"?>
<formControlPr xmlns="http://schemas.microsoft.com/office/spreadsheetml/2009/9/main" objectType="CheckBox" fmlaLink="$G$32" lockText="1" noThreeD="1"/>
</file>

<file path=xl/ctrlProps/ctrlProp25.xml><?xml version="1.0" encoding="utf-8"?>
<formControlPr xmlns="http://schemas.microsoft.com/office/spreadsheetml/2009/9/main" objectType="CheckBox" fmlaLink="G23" lockText="1" noThreeD="1"/>
</file>

<file path=xl/ctrlProps/ctrlProp26.xml><?xml version="1.0" encoding="utf-8"?>
<formControlPr xmlns="http://schemas.microsoft.com/office/spreadsheetml/2009/9/main" objectType="CheckBox" fmlaLink="G24" lockText="1" noThreeD="1"/>
</file>

<file path=xl/ctrlProps/ctrlProp27.xml><?xml version="1.0" encoding="utf-8"?>
<formControlPr xmlns="http://schemas.microsoft.com/office/spreadsheetml/2009/9/main" objectType="CheckBox" checked="Checked" fmlaLink="G25" lockText="1" noThreeD="1"/>
</file>

<file path=xl/ctrlProps/ctrlProp28.xml><?xml version="1.0" encoding="utf-8"?>
<formControlPr xmlns="http://schemas.microsoft.com/office/spreadsheetml/2009/9/main" objectType="CheckBox" fmlaLink="$G$26" lockText="1" noThreeD="1"/>
</file>

<file path=xl/ctrlProps/ctrlProp29.xml><?xml version="1.0" encoding="utf-8"?>
<formControlPr xmlns="http://schemas.microsoft.com/office/spreadsheetml/2009/9/main" objectType="CheckBox" fmlaLink="G17" lockText="1" noThreeD="1"/>
</file>

<file path=xl/ctrlProps/ctrlProp30.xml><?xml version="1.0" encoding="utf-8"?>
<formControlPr xmlns="http://schemas.microsoft.com/office/spreadsheetml/2009/9/main" objectType="CheckBox" checked="Checked" fmlaLink="G18" lockText="1" noThreeD="1"/>
</file>

<file path=xl/ctrlProps/ctrlProp31.xml><?xml version="1.0" encoding="utf-8"?>
<formControlPr xmlns="http://schemas.microsoft.com/office/spreadsheetml/2009/9/main" objectType="CheckBox" fmlaLink="G19" lockText="1" noThreeD="1"/>
</file>

<file path=xl/ctrlProps/ctrlProp32.xml><?xml version="1.0" encoding="utf-8"?>
<formControlPr xmlns="http://schemas.microsoft.com/office/spreadsheetml/2009/9/main" objectType="CheckBox" fmlaLink="$G$20" lockText="1" noThreeD="1"/>
</file>

<file path=xl/ctrlProps/ctrlProp33.xml><?xml version="1.0" encoding="utf-8"?>
<formControlPr xmlns="http://schemas.microsoft.com/office/spreadsheetml/2009/9/main" objectType="CheckBox" fmlaLink="G23" lockText="1" noThreeD="1"/>
</file>

<file path=xl/ctrlProps/ctrlProp34.xml><?xml version="1.0" encoding="utf-8"?>
<formControlPr xmlns="http://schemas.microsoft.com/office/spreadsheetml/2009/9/main" objectType="CheckBox" checked="Checked" fmlaLink="G24" lockText="1" noThreeD="1"/>
</file>

<file path=xl/ctrlProps/ctrlProp35.xml><?xml version="1.0" encoding="utf-8"?>
<formControlPr xmlns="http://schemas.microsoft.com/office/spreadsheetml/2009/9/main" objectType="CheckBox" fmlaLink="G25" lockText="1" noThreeD="1"/>
</file>

<file path=xl/ctrlProps/ctrlProp36.xml><?xml version="1.0" encoding="utf-8"?>
<formControlPr xmlns="http://schemas.microsoft.com/office/spreadsheetml/2009/9/main" objectType="CheckBox" fmlaLink="$G$26" lockText="1" noThreeD="1"/>
</file>

<file path=xl/ctrlProps/ctrlProp37.xml><?xml version="1.0" encoding="utf-8"?>
<formControlPr xmlns="http://schemas.microsoft.com/office/spreadsheetml/2009/9/main" objectType="CheckBox" fmlaLink="G17" lockText="1" noThreeD="1"/>
</file>

<file path=xl/ctrlProps/ctrlProp38.xml><?xml version="1.0" encoding="utf-8"?>
<formControlPr xmlns="http://schemas.microsoft.com/office/spreadsheetml/2009/9/main" objectType="CheckBox" fmlaLink="G18" lockText="1" noThreeD="1"/>
</file>

<file path=xl/ctrlProps/ctrlProp39.xml><?xml version="1.0" encoding="utf-8"?>
<formControlPr xmlns="http://schemas.microsoft.com/office/spreadsheetml/2009/9/main" objectType="CheckBox" checked="Checked" fmlaLink="G19" lockText="1" noThreeD="1"/>
</file>

<file path=xl/ctrlProps/ctrlProp40.xml><?xml version="1.0" encoding="utf-8"?>
<formControlPr xmlns="http://schemas.microsoft.com/office/spreadsheetml/2009/9/main" objectType="CheckBox" fmlaLink="$G$20" lockText="1" noThreeD="1"/>
</file>

<file path=xl/ctrlProps/ctrlProp41.xml><?xml version="1.0" encoding="utf-8"?>
<formControlPr xmlns="http://schemas.microsoft.com/office/spreadsheetml/2009/9/main" objectType="CheckBox" fmlaLink="G41" lockText="1" noThreeD="1"/>
</file>

<file path=xl/ctrlProps/ctrlProp42.xml><?xml version="1.0" encoding="utf-8"?>
<formControlPr xmlns="http://schemas.microsoft.com/office/spreadsheetml/2009/9/main" objectType="CheckBox" checked="Checked" fmlaLink="G42" lockText="1" noThreeD="1"/>
</file>

<file path=xl/ctrlProps/ctrlProp43.xml><?xml version="1.0" encoding="utf-8"?>
<formControlPr xmlns="http://schemas.microsoft.com/office/spreadsheetml/2009/9/main" objectType="CheckBox" fmlaLink="G43" lockText="1" noThreeD="1"/>
</file>

<file path=xl/ctrlProps/ctrlProp44.xml><?xml version="1.0" encoding="utf-8"?>
<formControlPr xmlns="http://schemas.microsoft.com/office/spreadsheetml/2009/9/main" objectType="CheckBox" fmlaLink="$G$44" lockText="1" noThreeD="1"/>
</file>

<file path=xl/ctrlProps/ctrlProp45.xml><?xml version="1.0" encoding="utf-8"?>
<formControlPr xmlns="http://schemas.microsoft.com/office/spreadsheetml/2009/9/main" objectType="CheckBox" fmlaLink="G35" lockText="1" noThreeD="1"/>
</file>

<file path=xl/ctrlProps/ctrlProp46.xml><?xml version="1.0" encoding="utf-8"?>
<formControlPr xmlns="http://schemas.microsoft.com/office/spreadsheetml/2009/9/main" objectType="CheckBox" fmlaLink="G36" lockText="1" noThreeD="1"/>
</file>

<file path=xl/ctrlProps/ctrlProp47.xml><?xml version="1.0" encoding="utf-8"?>
<formControlPr xmlns="http://schemas.microsoft.com/office/spreadsheetml/2009/9/main" objectType="CheckBox" checked="Checked" fmlaLink="G37" lockText="1" noThreeD="1"/>
</file>

<file path=xl/ctrlProps/ctrlProp48.xml><?xml version="1.0" encoding="utf-8"?>
<formControlPr xmlns="http://schemas.microsoft.com/office/spreadsheetml/2009/9/main" objectType="CheckBox" fmlaLink="$G$38" lockText="1" noThreeD="1"/>
</file>

<file path=xl/ctrlProps/ctrlProp49.xml><?xml version="1.0" encoding="utf-8"?>
<formControlPr xmlns="http://schemas.microsoft.com/office/spreadsheetml/2009/9/main" objectType="CheckBox" fmlaLink="G29" lockText="1" noThreeD="1"/>
</file>

<file path=xl/ctrlProps/ctrlProp50.xml><?xml version="1.0" encoding="utf-8"?>
<formControlPr xmlns="http://schemas.microsoft.com/office/spreadsheetml/2009/9/main" objectType="CheckBox" checked="Checked" fmlaLink="G30" lockText="1" noThreeD="1"/>
</file>

<file path=xl/ctrlProps/ctrlProp51.xml><?xml version="1.0" encoding="utf-8"?>
<formControlPr xmlns="http://schemas.microsoft.com/office/spreadsheetml/2009/9/main" objectType="CheckBox" fmlaLink="G31" lockText="1" noThreeD="1"/>
</file>

<file path=xl/ctrlProps/ctrlProp52.xml><?xml version="1.0" encoding="utf-8"?>
<formControlPr xmlns="http://schemas.microsoft.com/office/spreadsheetml/2009/9/main" objectType="CheckBox" fmlaLink="$G$32" lockText="1" noThreeD="1"/>
</file>

<file path=xl/ctrlProps/ctrlProp53.xml><?xml version="1.0" encoding="utf-8"?>
<formControlPr xmlns="http://schemas.microsoft.com/office/spreadsheetml/2009/9/main" objectType="CheckBox" fmlaLink="G23" lockText="1" noThreeD="1"/>
</file>

<file path=xl/ctrlProps/ctrlProp54.xml><?xml version="1.0" encoding="utf-8"?>
<formControlPr xmlns="http://schemas.microsoft.com/office/spreadsheetml/2009/9/main" objectType="CheckBox" fmlaLink="G24" lockText="1" noThreeD="1"/>
</file>

<file path=xl/ctrlProps/ctrlProp55.xml><?xml version="1.0" encoding="utf-8"?>
<formControlPr xmlns="http://schemas.microsoft.com/office/spreadsheetml/2009/9/main" objectType="CheckBox" checked="Checked" fmlaLink="G25" lockText="1" noThreeD="1"/>
</file>

<file path=xl/ctrlProps/ctrlProp56.xml><?xml version="1.0" encoding="utf-8"?>
<formControlPr xmlns="http://schemas.microsoft.com/office/spreadsheetml/2009/9/main" objectType="CheckBox" fmlaLink="$G$26" lockText="1" noThreeD="1"/>
</file>

<file path=xl/ctrlProps/ctrlProp57.xml><?xml version="1.0" encoding="utf-8"?>
<formControlPr xmlns="http://schemas.microsoft.com/office/spreadsheetml/2009/9/main" objectType="CheckBox" fmlaLink="G17" lockText="1" noThreeD="1"/>
</file>

<file path=xl/ctrlProps/ctrlProp58.xml><?xml version="1.0" encoding="utf-8"?>
<formControlPr xmlns="http://schemas.microsoft.com/office/spreadsheetml/2009/9/main" objectType="CheckBox" checked="Checked" fmlaLink="G18" lockText="1" noThreeD="1"/>
</file>

<file path=xl/ctrlProps/ctrlProp59.xml><?xml version="1.0" encoding="utf-8"?>
<formControlPr xmlns="http://schemas.microsoft.com/office/spreadsheetml/2009/9/main" objectType="CheckBox" fmlaLink="G19" lockText="1" noThreeD="1"/>
</file>

<file path=xl/ctrlProps/ctrlProp60.xml><?xml version="1.0" encoding="utf-8"?>
<formControlPr xmlns="http://schemas.microsoft.com/office/spreadsheetml/2009/9/main" objectType="CheckBox" fmlaLink="$G$20" lockText="1" noThreeD="1"/>
</file>

<file path=xl/ctrlProps/ctrlProp61.xml><?xml version="1.0" encoding="utf-8"?>
<formControlPr xmlns="http://schemas.microsoft.com/office/spreadsheetml/2009/9/main" objectType="CheckBox" fmlaLink="G29" lockText="1" noThreeD="1"/>
</file>

<file path=xl/ctrlProps/ctrlProp62.xml><?xml version="1.0" encoding="utf-8"?>
<formControlPr xmlns="http://schemas.microsoft.com/office/spreadsheetml/2009/9/main" objectType="CheckBox" checked="Checked" fmlaLink="G30" lockText="1" noThreeD="1"/>
</file>

<file path=xl/ctrlProps/ctrlProp63.xml><?xml version="1.0" encoding="utf-8"?>
<formControlPr xmlns="http://schemas.microsoft.com/office/spreadsheetml/2009/9/main" objectType="CheckBox" fmlaLink="G31" lockText="1" noThreeD="1"/>
</file>

<file path=xl/ctrlProps/ctrlProp64.xml><?xml version="1.0" encoding="utf-8"?>
<formControlPr xmlns="http://schemas.microsoft.com/office/spreadsheetml/2009/9/main" objectType="CheckBox" fmlaLink="$G$32" lockText="1" noThreeD="1"/>
</file>

<file path=xl/ctrlProps/ctrlProp65.xml><?xml version="1.0" encoding="utf-8"?>
<formControlPr xmlns="http://schemas.microsoft.com/office/spreadsheetml/2009/9/main" objectType="CheckBox" fmlaLink="G23" lockText="1" noThreeD="1"/>
</file>

<file path=xl/ctrlProps/ctrlProp66.xml><?xml version="1.0" encoding="utf-8"?>
<formControlPr xmlns="http://schemas.microsoft.com/office/spreadsheetml/2009/9/main" objectType="CheckBox" checked="Checked" fmlaLink="G24" lockText="1" noThreeD="1"/>
</file>

<file path=xl/ctrlProps/ctrlProp67.xml><?xml version="1.0" encoding="utf-8"?>
<formControlPr xmlns="http://schemas.microsoft.com/office/spreadsheetml/2009/9/main" objectType="CheckBox" fmlaLink="G25" lockText="1" noThreeD="1"/>
</file>

<file path=xl/ctrlProps/ctrlProp68.xml><?xml version="1.0" encoding="utf-8"?>
<formControlPr xmlns="http://schemas.microsoft.com/office/spreadsheetml/2009/9/main" objectType="CheckBox" fmlaLink="$G$26" lockText="1" noThreeD="1"/>
</file>

<file path=xl/ctrlProps/ctrlProp69.xml><?xml version="1.0" encoding="utf-8"?>
<formControlPr xmlns="http://schemas.microsoft.com/office/spreadsheetml/2009/9/main" objectType="CheckBox" fmlaLink="G17" lockText="1" noThreeD="1"/>
</file>

<file path=xl/ctrlProps/ctrlProp70.xml><?xml version="1.0" encoding="utf-8"?>
<formControlPr xmlns="http://schemas.microsoft.com/office/spreadsheetml/2009/9/main" objectType="CheckBox" fmlaLink="G18" lockText="1" noThreeD="1"/>
</file>

<file path=xl/ctrlProps/ctrlProp71.xml><?xml version="1.0" encoding="utf-8"?>
<formControlPr xmlns="http://schemas.microsoft.com/office/spreadsheetml/2009/9/main" objectType="CheckBox" checked="Checked" fmlaLink="G19" lockText="1" noThreeD="1"/>
</file>

<file path=xl/ctrlProps/ctrlProp72.xml><?xml version="1.0" encoding="utf-8"?>
<formControlPr xmlns="http://schemas.microsoft.com/office/spreadsheetml/2009/9/main" objectType="CheckBox" fmlaLink="$G$20" lockText="1" noThreeD="1"/>
</file>

<file path=xl/ctrlProps/ctrlProp73.xml><?xml version="1.0" encoding="utf-8"?>
<formControlPr xmlns="http://schemas.microsoft.com/office/spreadsheetml/2009/9/main" objectType="CheckBox" fmlaLink="G29" lockText="1" noThreeD="1"/>
</file>

<file path=xl/ctrlProps/ctrlProp74.xml><?xml version="1.0" encoding="utf-8"?>
<formControlPr xmlns="http://schemas.microsoft.com/office/spreadsheetml/2009/9/main" objectType="CheckBox" checked="Checked" fmlaLink="G30" lockText="1" noThreeD="1"/>
</file>

<file path=xl/ctrlProps/ctrlProp75.xml><?xml version="1.0" encoding="utf-8"?>
<formControlPr xmlns="http://schemas.microsoft.com/office/spreadsheetml/2009/9/main" objectType="CheckBox" fmlaLink="G31" lockText="1" noThreeD="1"/>
</file>

<file path=xl/ctrlProps/ctrlProp76.xml><?xml version="1.0" encoding="utf-8"?>
<formControlPr xmlns="http://schemas.microsoft.com/office/spreadsheetml/2009/9/main" objectType="CheckBox" fmlaLink="$G$32" lockText="1" noThreeD="1"/>
</file>

<file path=xl/ctrlProps/ctrlProp77.xml><?xml version="1.0" encoding="utf-8"?>
<formControlPr xmlns="http://schemas.microsoft.com/office/spreadsheetml/2009/9/main" objectType="CheckBox" fmlaLink="G23" lockText="1" noThreeD="1"/>
</file>

<file path=xl/ctrlProps/ctrlProp78.xml><?xml version="1.0" encoding="utf-8"?>
<formControlPr xmlns="http://schemas.microsoft.com/office/spreadsheetml/2009/9/main" objectType="CheckBox" checked="Checked" fmlaLink="G24" lockText="1" noThreeD="1"/>
</file>

<file path=xl/ctrlProps/ctrlProp79.xml><?xml version="1.0" encoding="utf-8"?>
<formControlPr xmlns="http://schemas.microsoft.com/office/spreadsheetml/2009/9/main" objectType="CheckBox" fmlaLink="G25" lockText="1" noThreeD="1"/>
</file>

<file path=xl/ctrlProps/ctrlProp80.xml><?xml version="1.0" encoding="utf-8"?>
<formControlPr xmlns="http://schemas.microsoft.com/office/spreadsheetml/2009/9/main" objectType="CheckBox" fmlaLink="$G$26" lockText="1" noThreeD="1"/>
</file>

<file path=xl/ctrlProps/ctrlProp81.xml><?xml version="1.0" encoding="utf-8"?>
<formControlPr xmlns="http://schemas.microsoft.com/office/spreadsheetml/2009/9/main" objectType="CheckBox" fmlaLink="G17" lockText="1" noThreeD="1"/>
</file>

<file path=xl/ctrlProps/ctrlProp82.xml><?xml version="1.0" encoding="utf-8"?>
<formControlPr xmlns="http://schemas.microsoft.com/office/spreadsheetml/2009/9/main" objectType="CheckBox" checked="Checked" fmlaLink="G18" lockText="1" noThreeD="1"/>
</file>

<file path=xl/ctrlProps/ctrlProp83.xml><?xml version="1.0" encoding="utf-8"?>
<formControlPr xmlns="http://schemas.microsoft.com/office/spreadsheetml/2009/9/main" objectType="CheckBox" fmlaLink="G19" lockText="1" noThreeD="1"/>
</file>

<file path=xl/ctrlProps/ctrlProp84.xml><?xml version="1.0" encoding="utf-8"?>
<formControlPr xmlns="http://schemas.microsoft.com/office/spreadsheetml/2009/9/main" objectType="CheckBox" fmlaLink="$G$20" lockText="1" noThreeD="1"/>
</file>

<file path=xl/ctrlProps/ctrlProp85.xml><?xml version="1.0" encoding="utf-8"?>
<formControlPr xmlns="http://schemas.microsoft.com/office/spreadsheetml/2009/9/main" objectType="CheckBox" fmlaLink="G23" lockText="1" noThreeD="1"/>
</file>

<file path=xl/ctrlProps/ctrlProp86.xml><?xml version="1.0" encoding="utf-8"?>
<formControlPr xmlns="http://schemas.microsoft.com/office/spreadsheetml/2009/9/main" objectType="CheckBox" checked="Checked" fmlaLink="G24" lockText="1" noThreeD="1"/>
</file>

<file path=xl/ctrlProps/ctrlProp87.xml><?xml version="1.0" encoding="utf-8"?>
<formControlPr xmlns="http://schemas.microsoft.com/office/spreadsheetml/2009/9/main" objectType="CheckBox" fmlaLink="G25" lockText="1" noThreeD="1"/>
</file>

<file path=xl/ctrlProps/ctrlProp88.xml><?xml version="1.0" encoding="utf-8"?>
<formControlPr xmlns="http://schemas.microsoft.com/office/spreadsheetml/2009/9/main" objectType="CheckBox" fmlaLink="$G$26"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6.png"/><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58</xdr:row>
      <xdr:rowOff>121920</xdr:rowOff>
    </xdr:from>
    <xdr:to>
      <xdr:col>4</xdr:col>
      <xdr:colOff>160355</xdr:colOff>
      <xdr:row>64</xdr:row>
      <xdr:rowOff>137328</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a:stretch>
          <a:fillRect/>
        </a:stretch>
      </xdr:blipFill>
      <xdr:spPr>
        <a:xfrm>
          <a:off x="114300" y="16002000"/>
          <a:ext cx="3871295" cy="1935648"/>
        </a:xfrm>
        <a:prstGeom prst="rect">
          <a:avLst/>
        </a:prstGeom>
      </xdr:spPr>
    </xdr:pic>
    <xdr:clientData/>
  </xdr:twoCellAnchor>
  <xdr:twoCellAnchor editAs="oneCell">
    <xdr:from>
      <xdr:col>0</xdr:col>
      <xdr:colOff>38101</xdr:colOff>
      <xdr:row>40</xdr:row>
      <xdr:rowOff>60961</xdr:rowOff>
    </xdr:from>
    <xdr:to>
      <xdr:col>11</xdr:col>
      <xdr:colOff>198121</xdr:colOff>
      <xdr:row>50</xdr:row>
      <xdr:rowOff>282743</xdr:rowOff>
    </xdr:to>
    <xdr:pic>
      <xdr:nvPicPr>
        <xdr:cNvPr id="14" name="Imagen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a:stretch>
          <a:fillRect/>
        </a:stretch>
      </xdr:blipFill>
      <xdr:spPr>
        <a:xfrm>
          <a:off x="38101" y="11841481"/>
          <a:ext cx="10203180" cy="1974382"/>
        </a:xfrm>
        <a:prstGeom prst="rect">
          <a:avLst/>
        </a:prstGeom>
      </xdr:spPr>
    </xdr:pic>
    <xdr:clientData/>
  </xdr:twoCellAnchor>
  <xdr:twoCellAnchor editAs="oneCell">
    <xdr:from>
      <xdr:col>0</xdr:col>
      <xdr:colOff>106891</xdr:colOff>
      <xdr:row>6</xdr:row>
      <xdr:rowOff>0</xdr:rowOff>
    </xdr:from>
    <xdr:to>
      <xdr:col>0</xdr:col>
      <xdr:colOff>106891</xdr:colOff>
      <xdr:row>7</xdr:row>
      <xdr:rowOff>295596</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6891" y="1082040"/>
          <a:ext cx="0" cy="516576"/>
        </a:xfrm>
        <a:prstGeom prst="rect">
          <a:avLst/>
        </a:prstGeom>
      </xdr:spPr>
    </xdr:pic>
    <xdr:clientData/>
  </xdr:twoCellAnchor>
  <xdr:twoCellAnchor>
    <xdr:from>
      <xdr:col>4</xdr:col>
      <xdr:colOff>234315</xdr:colOff>
      <xdr:row>45</xdr:row>
      <xdr:rowOff>100965</xdr:rowOff>
    </xdr:from>
    <xdr:to>
      <xdr:col>4</xdr:col>
      <xdr:colOff>486315</xdr:colOff>
      <xdr:row>47</xdr:row>
      <xdr:rowOff>2445</xdr:rowOff>
    </xdr:to>
    <xdr:sp macro="" textlink="">
      <xdr:nvSpPr>
        <xdr:cNvPr id="5" name="Elipse 4">
          <a:extLst>
            <a:ext uri="{FF2B5EF4-FFF2-40B4-BE49-F238E27FC236}">
              <a16:creationId xmlns:a16="http://schemas.microsoft.com/office/drawing/2014/main" id="{00000000-0008-0000-0000-000005000000}"/>
            </a:ext>
          </a:extLst>
        </xdr:cNvPr>
        <xdr:cNvSpPr/>
      </xdr:nvSpPr>
      <xdr:spPr>
        <a:xfrm>
          <a:off x="4059555" y="13283565"/>
          <a:ext cx="252000" cy="252000"/>
        </a:xfrm>
        <a:prstGeom prst="ellipse">
          <a:avLst/>
        </a:prstGeom>
        <a:solidFill>
          <a:srgbClr val="0070C0"/>
        </a:solidFill>
        <a:ln>
          <a:solidFill>
            <a:srgbClr val="0070C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2</a:t>
          </a:r>
        </a:p>
      </xdr:txBody>
    </xdr:sp>
    <xdr:clientData/>
  </xdr:twoCellAnchor>
  <xdr:twoCellAnchor editAs="oneCell">
    <xdr:from>
      <xdr:col>0</xdr:col>
      <xdr:colOff>106891</xdr:colOff>
      <xdr:row>6</xdr:row>
      <xdr:rowOff>0</xdr:rowOff>
    </xdr:from>
    <xdr:to>
      <xdr:col>0</xdr:col>
      <xdr:colOff>106891</xdr:colOff>
      <xdr:row>7</xdr:row>
      <xdr:rowOff>295596</xdr:rowOff>
    </xdr:to>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6891" y="1082040"/>
          <a:ext cx="0" cy="516576"/>
        </a:xfrm>
        <a:prstGeom prst="rect">
          <a:avLst/>
        </a:prstGeom>
      </xdr:spPr>
    </xdr:pic>
    <xdr:clientData/>
  </xdr:twoCellAnchor>
  <xdr:twoCellAnchor>
    <xdr:from>
      <xdr:col>1</xdr:col>
      <xdr:colOff>112395</xdr:colOff>
      <xdr:row>47</xdr:row>
      <xdr:rowOff>99060</xdr:rowOff>
    </xdr:from>
    <xdr:to>
      <xdr:col>1</xdr:col>
      <xdr:colOff>364395</xdr:colOff>
      <xdr:row>49</xdr:row>
      <xdr:rowOff>540</xdr:rowOff>
    </xdr:to>
    <xdr:sp macro="" textlink="">
      <xdr:nvSpPr>
        <xdr:cNvPr id="7" name="Elipse 6">
          <a:extLst>
            <a:ext uri="{FF2B5EF4-FFF2-40B4-BE49-F238E27FC236}">
              <a16:creationId xmlns:a16="http://schemas.microsoft.com/office/drawing/2014/main" id="{00000000-0008-0000-0000-000007000000}"/>
            </a:ext>
          </a:extLst>
        </xdr:cNvPr>
        <xdr:cNvSpPr/>
      </xdr:nvSpPr>
      <xdr:spPr>
        <a:xfrm>
          <a:off x="1110615" y="13632180"/>
          <a:ext cx="252000" cy="252000"/>
        </a:xfrm>
        <a:prstGeom prst="ellipse">
          <a:avLst/>
        </a:prstGeom>
        <a:solidFill>
          <a:srgbClr val="0070C0"/>
        </a:solidFill>
        <a:ln>
          <a:solidFill>
            <a:srgbClr val="0070C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1</a:t>
          </a:r>
        </a:p>
      </xdr:txBody>
    </xdr:sp>
    <xdr:clientData/>
  </xdr:twoCellAnchor>
  <xdr:twoCellAnchor>
    <xdr:from>
      <xdr:col>6</xdr:col>
      <xdr:colOff>224790</xdr:colOff>
      <xdr:row>45</xdr:row>
      <xdr:rowOff>28575</xdr:rowOff>
    </xdr:from>
    <xdr:to>
      <xdr:col>6</xdr:col>
      <xdr:colOff>476790</xdr:colOff>
      <xdr:row>46</xdr:row>
      <xdr:rowOff>105315</xdr:rowOff>
    </xdr:to>
    <xdr:sp macro="" textlink="">
      <xdr:nvSpPr>
        <xdr:cNvPr id="8" name="Elipse 7">
          <a:extLst>
            <a:ext uri="{FF2B5EF4-FFF2-40B4-BE49-F238E27FC236}">
              <a16:creationId xmlns:a16="http://schemas.microsoft.com/office/drawing/2014/main" id="{00000000-0008-0000-0000-000008000000}"/>
            </a:ext>
          </a:extLst>
        </xdr:cNvPr>
        <xdr:cNvSpPr/>
      </xdr:nvSpPr>
      <xdr:spPr>
        <a:xfrm>
          <a:off x="5985510" y="13211175"/>
          <a:ext cx="252000" cy="252000"/>
        </a:xfrm>
        <a:prstGeom prst="ellipse">
          <a:avLst/>
        </a:prstGeom>
        <a:solidFill>
          <a:srgbClr val="0070C0"/>
        </a:solidFill>
        <a:ln>
          <a:solidFill>
            <a:srgbClr val="0070C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3</a:t>
          </a:r>
        </a:p>
      </xdr:txBody>
    </xdr:sp>
    <xdr:clientData/>
  </xdr:twoCellAnchor>
  <xdr:twoCellAnchor>
    <xdr:from>
      <xdr:col>8</xdr:col>
      <xdr:colOff>316230</xdr:colOff>
      <xdr:row>44</xdr:row>
      <xdr:rowOff>154305</xdr:rowOff>
    </xdr:from>
    <xdr:to>
      <xdr:col>8</xdr:col>
      <xdr:colOff>568230</xdr:colOff>
      <xdr:row>46</xdr:row>
      <xdr:rowOff>55785</xdr:rowOff>
    </xdr:to>
    <xdr:sp macro="" textlink="">
      <xdr:nvSpPr>
        <xdr:cNvPr id="9" name="Elipse 8">
          <a:extLst>
            <a:ext uri="{FF2B5EF4-FFF2-40B4-BE49-F238E27FC236}">
              <a16:creationId xmlns:a16="http://schemas.microsoft.com/office/drawing/2014/main" id="{00000000-0008-0000-0000-000009000000}"/>
            </a:ext>
          </a:extLst>
        </xdr:cNvPr>
        <xdr:cNvSpPr/>
      </xdr:nvSpPr>
      <xdr:spPr>
        <a:xfrm>
          <a:off x="7867650" y="13161645"/>
          <a:ext cx="252000" cy="252000"/>
        </a:xfrm>
        <a:prstGeom prst="ellipse">
          <a:avLst/>
        </a:prstGeom>
        <a:solidFill>
          <a:srgbClr val="0070C0"/>
        </a:solidFill>
        <a:ln>
          <a:solidFill>
            <a:srgbClr val="0070C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4</a:t>
          </a:r>
        </a:p>
      </xdr:txBody>
    </xdr:sp>
    <xdr:clientData/>
  </xdr:twoCellAnchor>
  <xdr:twoCellAnchor>
    <xdr:from>
      <xdr:col>2</xdr:col>
      <xdr:colOff>977265</xdr:colOff>
      <xdr:row>58</xdr:row>
      <xdr:rowOff>316230</xdr:rowOff>
    </xdr:from>
    <xdr:to>
      <xdr:col>3</xdr:col>
      <xdr:colOff>231045</xdr:colOff>
      <xdr:row>59</xdr:row>
      <xdr:rowOff>248190</xdr:rowOff>
    </xdr:to>
    <xdr:sp macro="" textlink="">
      <xdr:nvSpPr>
        <xdr:cNvPr id="12" name="Elipse 11">
          <a:extLst>
            <a:ext uri="{FF2B5EF4-FFF2-40B4-BE49-F238E27FC236}">
              <a16:creationId xmlns:a16="http://schemas.microsoft.com/office/drawing/2014/main" id="{00000000-0008-0000-0000-00000C000000}"/>
            </a:ext>
          </a:extLst>
        </xdr:cNvPr>
        <xdr:cNvSpPr/>
      </xdr:nvSpPr>
      <xdr:spPr>
        <a:xfrm>
          <a:off x="2973705" y="20181570"/>
          <a:ext cx="252000" cy="252000"/>
        </a:xfrm>
        <a:prstGeom prst="ellipse">
          <a:avLst/>
        </a:prstGeom>
        <a:solidFill>
          <a:srgbClr val="0070C0"/>
        </a:solidFill>
        <a:ln>
          <a:solidFill>
            <a:srgbClr val="0070C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6</a:t>
          </a:r>
        </a:p>
      </xdr:txBody>
    </xdr:sp>
    <xdr:clientData/>
  </xdr:twoCellAnchor>
  <xdr:twoCellAnchor editAs="oneCell">
    <xdr:from>
      <xdr:col>0</xdr:col>
      <xdr:colOff>76200</xdr:colOff>
      <xdr:row>29</xdr:row>
      <xdr:rowOff>76200</xdr:rowOff>
    </xdr:from>
    <xdr:to>
      <xdr:col>12</xdr:col>
      <xdr:colOff>327660</xdr:colOff>
      <xdr:row>34</xdr:row>
      <xdr:rowOff>45720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a:stretch>
          <a:fillRect/>
        </a:stretch>
      </xdr:blipFill>
      <xdr:spPr>
        <a:xfrm>
          <a:off x="76200" y="8976360"/>
          <a:ext cx="11125200" cy="1798320"/>
        </a:xfrm>
        <a:prstGeom prst="rect">
          <a:avLst/>
        </a:prstGeom>
      </xdr:spPr>
    </xdr:pic>
    <xdr:clientData/>
  </xdr:twoCellAnchor>
  <xdr:twoCellAnchor editAs="oneCell">
    <xdr:from>
      <xdr:col>0</xdr:col>
      <xdr:colOff>129540</xdr:colOff>
      <xdr:row>69</xdr:row>
      <xdr:rowOff>99060</xdr:rowOff>
    </xdr:from>
    <xdr:to>
      <xdr:col>10</xdr:col>
      <xdr:colOff>358140</xdr:colOff>
      <xdr:row>72</xdr:row>
      <xdr:rowOff>2452461</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5"/>
        <a:stretch>
          <a:fillRect/>
        </a:stretch>
      </xdr:blipFill>
      <xdr:spPr>
        <a:xfrm>
          <a:off x="129540" y="19956780"/>
          <a:ext cx="9441180" cy="28791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0</xdr:row>
      <xdr:rowOff>85726</xdr:rowOff>
    </xdr:from>
    <xdr:ext cx="0" cy="730672"/>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6</xdr:col>
          <xdr:colOff>676275</xdr:colOff>
          <xdr:row>16</xdr:row>
          <xdr:rowOff>342900</xdr:rowOff>
        </xdr:from>
        <xdr:to>
          <xdr:col>6</xdr:col>
          <xdr:colOff>1019175</xdr:colOff>
          <xdr:row>16</xdr:row>
          <xdr:rowOff>695325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17</xdr:row>
          <xdr:rowOff>409575</xdr:rowOff>
        </xdr:from>
        <xdr:to>
          <xdr:col>6</xdr:col>
          <xdr:colOff>1019175</xdr:colOff>
          <xdr:row>17</xdr:row>
          <xdr:rowOff>752475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18</xdr:row>
          <xdr:rowOff>409575</xdr:rowOff>
        </xdr:from>
        <xdr:to>
          <xdr:col>6</xdr:col>
          <xdr:colOff>1019175</xdr:colOff>
          <xdr:row>18</xdr:row>
          <xdr:rowOff>752475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19</xdr:row>
          <xdr:rowOff>381000</xdr:rowOff>
        </xdr:from>
        <xdr:to>
          <xdr:col>6</xdr:col>
          <xdr:colOff>1019175</xdr:colOff>
          <xdr:row>19</xdr:row>
          <xdr:rowOff>733425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38</xdr:row>
      <xdr:rowOff>0</xdr:rowOff>
    </xdr:from>
    <xdr:ext cx="333375" cy="342900"/>
    <xdr:sp macro="" textlink="">
      <xdr:nvSpPr>
        <xdr:cNvPr id="6" name="Check Box 90" hidden="1">
          <a:extLst>
            <a:ext uri="{63B3BB69-23CF-44E3-9099-C40C66FF867C}">
              <a14:compatExt xmlns:a14="http://schemas.microsoft.com/office/drawing/2010/main" spid="_x0000_s5210"/>
            </a:ext>
            <a:ext uri="{FF2B5EF4-FFF2-40B4-BE49-F238E27FC236}">
              <a16:creationId xmlns:a16="http://schemas.microsoft.com/office/drawing/2014/main" id="{00000000-0008-0000-0100-000006000000}"/>
            </a:ext>
          </a:extLst>
        </xdr:cNvPr>
        <xdr:cNvSpPr/>
      </xdr:nvSpPr>
      <xdr:spPr bwMode="auto">
        <a:xfrm>
          <a:off x="13224510"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7" name="Check Box 91" hidden="1">
          <a:extLst>
            <a:ext uri="{63B3BB69-23CF-44E3-9099-C40C66FF867C}">
              <a14:compatExt xmlns:a14="http://schemas.microsoft.com/office/drawing/2010/main" spid="_x0000_s5211"/>
            </a:ext>
            <a:ext uri="{FF2B5EF4-FFF2-40B4-BE49-F238E27FC236}">
              <a16:creationId xmlns:a16="http://schemas.microsoft.com/office/drawing/2014/main" id="{00000000-0008-0000-0100-00000700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8" name="Check Box 92" hidden="1">
          <a:extLst>
            <a:ext uri="{63B3BB69-23CF-44E3-9099-C40C66FF867C}">
              <a14:compatExt xmlns:a14="http://schemas.microsoft.com/office/drawing/2010/main" spid="_x0000_s5212"/>
            </a:ext>
            <a:ext uri="{FF2B5EF4-FFF2-40B4-BE49-F238E27FC236}">
              <a16:creationId xmlns:a16="http://schemas.microsoft.com/office/drawing/2014/main" id="{00000000-0008-0000-0100-00000800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9" name="Check Box 93" hidden="1">
          <a:extLst>
            <a:ext uri="{63B3BB69-23CF-44E3-9099-C40C66FF867C}">
              <a14:compatExt xmlns:a14="http://schemas.microsoft.com/office/drawing/2010/main" spid="_x0000_s5213"/>
            </a:ext>
            <a:ext uri="{FF2B5EF4-FFF2-40B4-BE49-F238E27FC236}">
              <a16:creationId xmlns:a16="http://schemas.microsoft.com/office/drawing/2014/main" id="{00000000-0008-0000-0100-00000900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 name="Check Box 94" hidden="1">
          <a:extLst>
            <a:ext uri="{63B3BB69-23CF-44E3-9099-C40C66FF867C}">
              <a14:compatExt xmlns:a14="http://schemas.microsoft.com/office/drawing/2010/main" spid="_x0000_s5214"/>
            </a:ext>
            <a:ext uri="{FF2B5EF4-FFF2-40B4-BE49-F238E27FC236}">
              <a16:creationId xmlns:a16="http://schemas.microsoft.com/office/drawing/2014/main" id="{00000000-0008-0000-0100-00000A00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 name="Check Box 95" hidden="1">
          <a:extLst>
            <a:ext uri="{63B3BB69-23CF-44E3-9099-C40C66FF867C}">
              <a14:compatExt xmlns:a14="http://schemas.microsoft.com/office/drawing/2010/main" spid="_x0000_s5215"/>
            </a:ext>
            <a:ext uri="{FF2B5EF4-FFF2-40B4-BE49-F238E27FC236}">
              <a16:creationId xmlns:a16="http://schemas.microsoft.com/office/drawing/2014/main" id="{00000000-0008-0000-0100-00000B00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2"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100-00000C00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3"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100-00000D00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4"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100-00000E00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5"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100-00000F00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6"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100-00001000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7"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100-00001100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8"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100-00001200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9"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100-000013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20"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100-000014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21"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100-000015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22"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100-000016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23"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100-000017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24"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100-00001800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25"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100-000019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26"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100-00001A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27"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100-00001B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28"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100-00001C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29"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100-00001D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123825</xdr:colOff>
      <xdr:row>0</xdr:row>
      <xdr:rowOff>85726</xdr:rowOff>
    </xdr:from>
    <xdr:ext cx="0" cy="730672"/>
    <xdr:pic>
      <xdr:nvPicPr>
        <xdr:cNvPr id="30" name="Imagen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1" name="Imagen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32" name="Imagen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xdr:oneCellAnchor>
    <xdr:from>
      <xdr:col>6</xdr:col>
      <xdr:colOff>1009650</xdr:colOff>
      <xdr:row>16</xdr:row>
      <xdr:rowOff>0</xdr:rowOff>
    </xdr:from>
    <xdr:ext cx="333375" cy="342900"/>
    <xdr:sp macro="" textlink="">
      <xdr:nvSpPr>
        <xdr:cNvPr id="33"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100-000021000000}"/>
            </a:ext>
          </a:extLst>
        </xdr:cNvPr>
        <xdr:cNvSpPr/>
      </xdr:nvSpPr>
      <xdr:spPr bwMode="auto">
        <a:xfrm>
          <a:off x="13224510" y="4932045"/>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16</xdr:row>
      <xdr:rowOff>180975</xdr:rowOff>
    </xdr:from>
    <xdr:ext cx="342900" cy="342900"/>
    <xdr:sp macro="" textlink="">
      <xdr:nvSpPr>
        <xdr:cNvPr id="34"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100-000022000000}"/>
            </a:ext>
          </a:extLst>
        </xdr:cNvPr>
        <xdr:cNvSpPr/>
      </xdr:nvSpPr>
      <xdr:spPr bwMode="auto">
        <a:xfrm>
          <a:off x="13205460" y="61474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17</xdr:row>
      <xdr:rowOff>247650</xdr:rowOff>
    </xdr:from>
    <xdr:ext cx="342900" cy="342900"/>
    <xdr:sp macro="" textlink="">
      <xdr:nvSpPr>
        <xdr:cNvPr id="35"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100-000023000000}"/>
            </a:ext>
          </a:extLst>
        </xdr:cNvPr>
        <xdr:cNvSpPr/>
      </xdr:nvSpPr>
      <xdr:spPr bwMode="auto">
        <a:xfrm>
          <a:off x="13205460" y="73723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18</xdr:row>
      <xdr:rowOff>238125</xdr:rowOff>
    </xdr:from>
    <xdr:ext cx="342900" cy="342900"/>
    <xdr:sp macro="" textlink="">
      <xdr:nvSpPr>
        <xdr:cNvPr id="36"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100-000024000000}"/>
            </a:ext>
          </a:extLst>
        </xdr:cNvPr>
        <xdr:cNvSpPr/>
      </xdr:nvSpPr>
      <xdr:spPr bwMode="auto">
        <a:xfrm>
          <a:off x="13205460" y="852106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19</xdr:row>
      <xdr:rowOff>219075</xdr:rowOff>
    </xdr:from>
    <xdr:ext cx="342900" cy="342900"/>
    <xdr:sp macro="" textlink="">
      <xdr:nvSpPr>
        <xdr:cNvPr id="37"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100-000025000000}"/>
            </a:ext>
          </a:extLst>
        </xdr:cNvPr>
        <xdr:cNvSpPr/>
      </xdr:nvSpPr>
      <xdr:spPr bwMode="auto">
        <a:xfrm>
          <a:off x="13205460" y="966025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3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100-000026000000}"/>
            </a:ext>
          </a:extLst>
        </xdr:cNvPr>
        <xdr:cNvSpPr/>
      </xdr:nvSpPr>
      <xdr:spPr bwMode="auto">
        <a:xfrm>
          <a:off x="13205460" y="108089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39"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100-000027000000}"/>
            </a:ext>
          </a:extLst>
        </xdr:cNvPr>
        <xdr:cNvSpPr/>
      </xdr:nvSpPr>
      <xdr:spPr bwMode="auto">
        <a:xfrm>
          <a:off x="13214985" y="3936873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40"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100-000028000000}"/>
            </a:ext>
          </a:extLst>
        </xdr:cNvPr>
        <xdr:cNvSpPr/>
      </xdr:nvSpPr>
      <xdr:spPr bwMode="auto">
        <a:xfrm>
          <a:off x="13205460" y="405841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41"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100-000029000000}"/>
            </a:ext>
          </a:extLst>
        </xdr:cNvPr>
        <xdr:cNvSpPr/>
      </xdr:nvSpPr>
      <xdr:spPr bwMode="auto">
        <a:xfrm>
          <a:off x="13205460" y="4179951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42"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100-00002A000000}"/>
            </a:ext>
          </a:extLst>
        </xdr:cNvPr>
        <xdr:cNvSpPr/>
      </xdr:nvSpPr>
      <xdr:spPr bwMode="auto">
        <a:xfrm>
          <a:off x="13205460" y="429577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43"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100-00002B000000}"/>
            </a:ext>
          </a:extLst>
        </xdr:cNvPr>
        <xdr:cNvSpPr/>
      </xdr:nvSpPr>
      <xdr:spPr bwMode="auto">
        <a:xfrm>
          <a:off x="13205460" y="441159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44"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100-00002C000000}"/>
            </a:ext>
          </a:extLst>
        </xdr:cNvPr>
        <xdr:cNvSpPr/>
      </xdr:nvSpPr>
      <xdr:spPr bwMode="auto">
        <a:xfrm>
          <a:off x="13205460" y="4528375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45"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100-00002D000000}"/>
            </a:ext>
          </a:extLst>
        </xdr:cNvPr>
        <xdr:cNvSpPr/>
      </xdr:nvSpPr>
      <xdr:spPr bwMode="auto">
        <a:xfrm>
          <a:off x="13176885" y="6484239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46"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100-00002E000000}"/>
            </a:ext>
          </a:extLst>
        </xdr:cNvPr>
        <xdr:cNvSpPr/>
      </xdr:nvSpPr>
      <xdr:spPr bwMode="auto">
        <a:xfrm>
          <a:off x="13167360" y="6605778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47"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100-00002F000000}"/>
            </a:ext>
          </a:extLst>
        </xdr:cNvPr>
        <xdr:cNvSpPr/>
      </xdr:nvSpPr>
      <xdr:spPr bwMode="auto">
        <a:xfrm>
          <a:off x="13167360" y="6726364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48"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100-000030000000}"/>
            </a:ext>
          </a:extLst>
        </xdr:cNvPr>
        <xdr:cNvSpPr/>
      </xdr:nvSpPr>
      <xdr:spPr bwMode="auto">
        <a:xfrm>
          <a:off x="13167360" y="6843141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49"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100-000031000000}"/>
            </a:ext>
          </a:extLst>
        </xdr:cNvPr>
        <xdr:cNvSpPr/>
      </xdr:nvSpPr>
      <xdr:spPr bwMode="auto">
        <a:xfrm>
          <a:off x="13167360" y="695896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50"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100-000032000000}"/>
            </a:ext>
          </a:extLst>
        </xdr:cNvPr>
        <xdr:cNvSpPr/>
      </xdr:nvSpPr>
      <xdr:spPr bwMode="auto">
        <a:xfrm>
          <a:off x="13167360" y="707478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51"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100-000033000000}"/>
            </a:ext>
          </a:extLst>
        </xdr:cNvPr>
        <xdr:cNvSpPr/>
      </xdr:nvSpPr>
      <xdr:spPr bwMode="auto">
        <a:xfrm>
          <a:off x="13176885" y="8967597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52"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100-000034000000}"/>
            </a:ext>
          </a:extLst>
        </xdr:cNvPr>
        <xdr:cNvSpPr/>
      </xdr:nvSpPr>
      <xdr:spPr bwMode="auto">
        <a:xfrm>
          <a:off x="13167360" y="90891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53"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100-000035000000}"/>
            </a:ext>
          </a:extLst>
        </xdr:cNvPr>
        <xdr:cNvSpPr/>
      </xdr:nvSpPr>
      <xdr:spPr bwMode="auto">
        <a:xfrm>
          <a:off x="13167360" y="9209722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54"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100-000036000000}"/>
            </a:ext>
          </a:extLst>
        </xdr:cNvPr>
        <xdr:cNvSpPr/>
      </xdr:nvSpPr>
      <xdr:spPr bwMode="auto">
        <a:xfrm>
          <a:off x="13167360" y="932649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55"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100-000037000000}"/>
            </a:ext>
          </a:extLst>
        </xdr:cNvPr>
        <xdr:cNvSpPr/>
      </xdr:nvSpPr>
      <xdr:spPr bwMode="auto">
        <a:xfrm>
          <a:off x="13167360" y="944232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56"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100-000038000000}"/>
            </a:ext>
          </a:extLst>
        </xdr:cNvPr>
        <xdr:cNvSpPr/>
      </xdr:nvSpPr>
      <xdr:spPr bwMode="auto">
        <a:xfrm>
          <a:off x="13167360" y="955814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57"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100-00003900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58"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100-00003A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59"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100-00003B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60"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100-00003C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61"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100-00003D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62"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100-00003E00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38</xdr:row>
      <xdr:rowOff>0</xdr:rowOff>
    </xdr:from>
    <xdr:ext cx="333375" cy="342900"/>
    <xdr:sp macro="" textlink="">
      <xdr:nvSpPr>
        <xdr:cNvPr id="63" name="Check Box 169" hidden="1">
          <a:extLst>
            <a:ext uri="{63B3BB69-23CF-44E3-9099-C40C66FF867C}">
              <a14:compatExt xmlns:a14="http://schemas.microsoft.com/office/drawing/2010/main" spid="_x0000_s5289"/>
            </a:ext>
            <a:ext uri="{FF2B5EF4-FFF2-40B4-BE49-F238E27FC236}">
              <a16:creationId xmlns:a16="http://schemas.microsoft.com/office/drawing/2014/main" id="{00000000-0008-0000-0100-00003F000000}"/>
            </a:ext>
          </a:extLst>
        </xdr:cNvPr>
        <xdr:cNvSpPr/>
      </xdr:nvSpPr>
      <xdr:spPr bwMode="auto">
        <a:xfrm>
          <a:off x="13224510"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24" name="Check Box 170" hidden="1">
          <a:extLst>
            <a:ext uri="{63B3BB69-23CF-44E3-9099-C40C66FF867C}">
              <a14:compatExt xmlns:a14="http://schemas.microsoft.com/office/drawing/2010/main" spid="_x0000_s5290"/>
            </a:ext>
            <a:ext uri="{FF2B5EF4-FFF2-40B4-BE49-F238E27FC236}">
              <a16:creationId xmlns:a16="http://schemas.microsoft.com/office/drawing/2014/main" id="{00000000-0008-0000-0100-000000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49" name="Check Box 171" hidden="1">
          <a:extLst>
            <a:ext uri="{63B3BB69-23CF-44E3-9099-C40C66FF867C}">
              <a14:compatExt xmlns:a14="http://schemas.microsoft.com/office/drawing/2010/main" spid="_x0000_s5291"/>
            </a:ext>
            <a:ext uri="{FF2B5EF4-FFF2-40B4-BE49-F238E27FC236}">
              <a16:creationId xmlns:a16="http://schemas.microsoft.com/office/drawing/2014/main" id="{00000000-0008-0000-0100-000019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50" name="Check Box 172" hidden="1">
          <a:extLst>
            <a:ext uri="{63B3BB69-23CF-44E3-9099-C40C66FF867C}">
              <a14:compatExt xmlns:a14="http://schemas.microsoft.com/office/drawing/2010/main" spid="_x0000_s5292"/>
            </a:ext>
            <a:ext uri="{FF2B5EF4-FFF2-40B4-BE49-F238E27FC236}">
              <a16:creationId xmlns:a16="http://schemas.microsoft.com/office/drawing/2014/main" id="{00000000-0008-0000-0100-00001A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51" name="Check Box 173" hidden="1">
          <a:extLst>
            <a:ext uri="{63B3BB69-23CF-44E3-9099-C40C66FF867C}">
              <a14:compatExt xmlns:a14="http://schemas.microsoft.com/office/drawing/2010/main" spid="_x0000_s5293"/>
            </a:ext>
            <a:ext uri="{FF2B5EF4-FFF2-40B4-BE49-F238E27FC236}">
              <a16:creationId xmlns:a16="http://schemas.microsoft.com/office/drawing/2014/main" id="{00000000-0008-0000-0100-00001B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52" name="Check Box 174" hidden="1">
          <a:extLst>
            <a:ext uri="{63B3BB69-23CF-44E3-9099-C40C66FF867C}">
              <a14:compatExt xmlns:a14="http://schemas.microsoft.com/office/drawing/2010/main" spid="_x0000_s5294"/>
            </a:ext>
            <a:ext uri="{FF2B5EF4-FFF2-40B4-BE49-F238E27FC236}">
              <a16:creationId xmlns:a16="http://schemas.microsoft.com/office/drawing/2014/main" id="{00000000-0008-0000-0100-00001C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053" name="Check Box 175" hidden="1">
          <a:extLst>
            <a:ext uri="{63B3BB69-23CF-44E3-9099-C40C66FF867C}">
              <a14:compatExt xmlns:a14="http://schemas.microsoft.com/office/drawing/2010/main" spid="_x0000_s5295"/>
            </a:ext>
            <a:ext uri="{FF2B5EF4-FFF2-40B4-BE49-F238E27FC236}">
              <a16:creationId xmlns:a16="http://schemas.microsoft.com/office/drawing/2014/main" id="{00000000-0008-0000-0100-00001D04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54" name="Check Box 176" hidden="1">
          <a:extLst>
            <a:ext uri="{63B3BB69-23CF-44E3-9099-C40C66FF867C}">
              <a14:compatExt xmlns:a14="http://schemas.microsoft.com/office/drawing/2010/main" spid="_x0000_s5296"/>
            </a:ext>
            <a:ext uri="{FF2B5EF4-FFF2-40B4-BE49-F238E27FC236}">
              <a16:creationId xmlns:a16="http://schemas.microsoft.com/office/drawing/2014/main" id="{00000000-0008-0000-0100-00001E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55" name="Check Box 177" hidden="1">
          <a:extLst>
            <a:ext uri="{63B3BB69-23CF-44E3-9099-C40C66FF867C}">
              <a14:compatExt xmlns:a14="http://schemas.microsoft.com/office/drawing/2010/main" spid="_x0000_s5297"/>
            </a:ext>
            <a:ext uri="{FF2B5EF4-FFF2-40B4-BE49-F238E27FC236}">
              <a16:creationId xmlns:a16="http://schemas.microsoft.com/office/drawing/2014/main" id="{00000000-0008-0000-0100-00001F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56" name="Check Box 178" hidden="1">
          <a:extLst>
            <a:ext uri="{63B3BB69-23CF-44E3-9099-C40C66FF867C}">
              <a14:compatExt xmlns:a14="http://schemas.microsoft.com/office/drawing/2010/main" spid="_x0000_s5298"/>
            </a:ext>
            <a:ext uri="{FF2B5EF4-FFF2-40B4-BE49-F238E27FC236}">
              <a16:creationId xmlns:a16="http://schemas.microsoft.com/office/drawing/2014/main" id="{00000000-0008-0000-0100-000020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57" name="Check Box 179" hidden="1">
          <a:extLst>
            <a:ext uri="{63B3BB69-23CF-44E3-9099-C40C66FF867C}">
              <a14:compatExt xmlns:a14="http://schemas.microsoft.com/office/drawing/2010/main" spid="_x0000_s5299"/>
            </a:ext>
            <a:ext uri="{FF2B5EF4-FFF2-40B4-BE49-F238E27FC236}">
              <a16:creationId xmlns:a16="http://schemas.microsoft.com/office/drawing/2014/main" id="{00000000-0008-0000-0100-000021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58" name="Check Box 180" hidden="1">
          <a:extLst>
            <a:ext uri="{63B3BB69-23CF-44E3-9099-C40C66FF867C}">
              <a14:compatExt xmlns:a14="http://schemas.microsoft.com/office/drawing/2010/main" spid="_x0000_s5300"/>
            </a:ext>
            <a:ext uri="{FF2B5EF4-FFF2-40B4-BE49-F238E27FC236}">
              <a16:creationId xmlns:a16="http://schemas.microsoft.com/office/drawing/2014/main" id="{00000000-0008-0000-0100-000022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059" name="Check Box 181" hidden="1">
          <a:extLst>
            <a:ext uri="{63B3BB69-23CF-44E3-9099-C40C66FF867C}">
              <a14:compatExt xmlns:a14="http://schemas.microsoft.com/office/drawing/2010/main" spid="_x0000_s5301"/>
            </a:ext>
            <a:ext uri="{FF2B5EF4-FFF2-40B4-BE49-F238E27FC236}">
              <a16:creationId xmlns:a16="http://schemas.microsoft.com/office/drawing/2014/main" id="{00000000-0008-0000-0100-000023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60" name="Check Box 182" hidden="1">
          <a:extLst>
            <a:ext uri="{63B3BB69-23CF-44E3-9099-C40C66FF867C}">
              <a14:compatExt xmlns:a14="http://schemas.microsoft.com/office/drawing/2010/main" spid="_x0000_s5302"/>
            </a:ext>
            <a:ext uri="{FF2B5EF4-FFF2-40B4-BE49-F238E27FC236}">
              <a16:creationId xmlns:a16="http://schemas.microsoft.com/office/drawing/2014/main" id="{00000000-0008-0000-0100-000024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61" name="Check Box 183" hidden="1">
          <a:extLst>
            <a:ext uri="{63B3BB69-23CF-44E3-9099-C40C66FF867C}">
              <a14:compatExt xmlns:a14="http://schemas.microsoft.com/office/drawing/2010/main" spid="_x0000_s5303"/>
            </a:ext>
            <a:ext uri="{FF2B5EF4-FFF2-40B4-BE49-F238E27FC236}">
              <a16:creationId xmlns:a16="http://schemas.microsoft.com/office/drawing/2014/main" id="{00000000-0008-0000-0100-000025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62" name="Check Box 184" hidden="1">
          <a:extLst>
            <a:ext uri="{63B3BB69-23CF-44E3-9099-C40C66FF867C}">
              <a14:compatExt xmlns:a14="http://schemas.microsoft.com/office/drawing/2010/main" spid="_x0000_s5304"/>
            </a:ext>
            <a:ext uri="{FF2B5EF4-FFF2-40B4-BE49-F238E27FC236}">
              <a16:creationId xmlns:a16="http://schemas.microsoft.com/office/drawing/2014/main" id="{00000000-0008-0000-0100-000026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63" name="Check Box 185" hidden="1">
          <a:extLst>
            <a:ext uri="{63B3BB69-23CF-44E3-9099-C40C66FF867C}">
              <a14:compatExt xmlns:a14="http://schemas.microsoft.com/office/drawing/2010/main" spid="_x0000_s5305"/>
            </a:ext>
            <a:ext uri="{FF2B5EF4-FFF2-40B4-BE49-F238E27FC236}">
              <a16:creationId xmlns:a16="http://schemas.microsoft.com/office/drawing/2014/main" id="{00000000-0008-0000-0100-000027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64" name="Check Box 186" hidden="1">
          <a:extLst>
            <a:ext uri="{63B3BB69-23CF-44E3-9099-C40C66FF867C}">
              <a14:compatExt xmlns:a14="http://schemas.microsoft.com/office/drawing/2010/main" spid="_x0000_s5306"/>
            </a:ext>
            <a:ext uri="{FF2B5EF4-FFF2-40B4-BE49-F238E27FC236}">
              <a16:creationId xmlns:a16="http://schemas.microsoft.com/office/drawing/2014/main" id="{00000000-0008-0000-0100-000028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065" name="Check Box 187" hidden="1">
          <a:extLst>
            <a:ext uri="{63B3BB69-23CF-44E3-9099-C40C66FF867C}">
              <a14:compatExt xmlns:a14="http://schemas.microsoft.com/office/drawing/2010/main" spid="_x0000_s5307"/>
            </a:ext>
            <a:ext uri="{FF2B5EF4-FFF2-40B4-BE49-F238E27FC236}">
              <a16:creationId xmlns:a16="http://schemas.microsoft.com/office/drawing/2014/main" id="{00000000-0008-0000-0100-000029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66" name="Check Box 188" hidden="1">
          <a:extLst>
            <a:ext uri="{63B3BB69-23CF-44E3-9099-C40C66FF867C}">
              <a14:compatExt xmlns:a14="http://schemas.microsoft.com/office/drawing/2010/main" spid="_x0000_s5308"/>
            </a:ext>
            <a:ext uri="{FF2B5EF4-FFF2-40B4-BE49-F238E27FC236}">
              <a16:creationId xmlns:a16="http://schemas.microsoft.com/office/drawing/2014/main" id="{00000000-0008-0000-0100-00002A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67" name="Check Box 189" hidden="1">
          <a:extLst>
            <a:ext uri="{63B3BB69-23CF-44E3-9099-C40C66FF867C}">
              <a14:compatExt xmlns:a14="http://schemas.microsoft.com/office/drawing/2010/main" spid="_x0000_s5309"/>
            </a:ext>
            <a:ext uri="{FF2B5EF4-FFF2-40B4-BE49-F238E27FC236}">
              <a16:creationId xmlns:a16="http://schemas.microsoft.com/office/drawing/2014/main" id="{00000000-0008-0000-0100-00002B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68" name="Check Box 190" hidden="1">
          <a:extLst>
            <a:ext uri="{63B3BB69-23CF-44E3-9099-C40C66FF867C}">
              <a14:compatExt xmlns:a14="http://schemas.microsoft.com/office/drawing/2010/main" spid="_x0000_s5310"/>
            </a:ext>
            <a:ext uri="{FF2B5EF4-FFF2-40B4-BE49-F238E27FC236}">
              <a16:creationId xmlns:a16="http://schemas.microsoft.com/office/drawing/2014/main" id="{00000000-0008-0000-0100-00002C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69" name="Check Box 191" hidden="1">
          <a:extLst>
            <a:ext uri="{63B3BB69-23CF-44E3-9099-C40C66FF867C}">
              <a14:compatExt xmlns:a14="http://schemas.microsoft.com/office/drawing/2010/main" spid="_x0000_s5311"/>
            </a:ext>
            <a:ext uri="{FF2B5EF4-FFF2-40B4-BE49-F238E27FC236}">
              <a16:creationId xmlns:a16="http://schemas.microsoft.com/office/drawing/2014/main" id="{00000000-0008-0000-0100-00002D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70" name="Check Box 192" hidden="1">
          <a:extLst>
            <a:ext uri="{63B3BB69-23CF-44E3-9099-C40C66FF867C}">
              <a14:compatExt xmlns:a14="http://schemas.microsoft.com/office/drawing/2010/main" spid="_x0000_s5312"/>
            </a:ext>
            <a:ext uri="{FF2B5EF4-FFF2-40B4-BE49-F238E27FC236}">
              <a16:creationId xmlns:a16="http://schemas.microsoft.com/office/drawing/2014/main" id="{00000000-0008-0000-0100-00002E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071" name="Check Box 193" hidden="1">
          <a:extLst>
            <a:ext uri="{63B3BB69-23CF-44E3-9099-C40C66FF867C}">
              <a14:compatExt xmlns:a14="http://schemas.microsoft.com/office/drawing/2010/main" spid="_x0000_s5313"/>
            </a:ext>
            <a:ext uri="{FF2B5EF4-FFF2-40B4-BE49-F238E27FC236}">
              <a16:creationId xmlns:a16="http://schemas.microsoft.com/office/drawing/2014/main" id="{00000000-0008-0000-0100-00002F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72" name="Check Box 194" hidden="1">
          <a:extLst>
            <a:ext uri="{63B3BB69-23CF-44E3-9099-C40C66FF867C}">
              <a14:compatExt xmlns:a14="http://schemas.microsoft.com/office/drawing/2010/main" spid="_x0000_s5314"/>
            </a:ext>
            <a:ext uri="{FF2B5EF4-FFF2-40B4-BE49-F238E27FC236}">
              <a16:creationId xmlns:a16="http://schemas.microsoft.com/office/drawing/2014/main" id="{00000000-0008-0000-0100-000030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73" name="Check Box 195" hidden="1">
          <a:extLst>
            <a:ext uri="{63B3BB69-23CF-44E3-9099-C40C66FF867C}">
              <a14:compatExt xmlns:a14="http://schemas.microsoft.com/office/drawing/2010/main" spid="_x0000_s5315"/>
            </a:ext>
            <a:ext uri="{FF2B5EF4-FFF2-40B4-BE49-F238E27FC236}">
              <a16:creationId xmlns:a16="http://schemas.microsoft.com/office/drawing/2014/main" id="{00000000-0008-0000-0100-000031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74" name="Check Box 196" hidden="1">
          <a:extLst>
            <a:ext uri="{63B3BB69-23CF-44E3-9099-C40C66FF867C}">
              <a14:compatExt xmlns:a14="http://schemas.microsoft.com/office/drawing/2010/main" spid="_x0000_s5316"/>
            </a:ext>
            <a:ext uri="{FF2B5EF4-FFF2-40B4-BE49-F238E27FC236}">
              <a16:creationId xmlns:a16="http://schemas.microsoft.com/office/drawing/2014/main" id="{00000000-0008-0000-0100-000032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75" name="Check Box 197" hidden="1">
          <a:extLst>
            <a:ext uri="{63B3BB69-23CF-44E3-9099-C40C66FF867C}">
              <a14:compatExt xmlns:a14="http://schemas.microsoft.com/office/drawing/2010/main" spid="_x0000_s5317"/>
            </a:ext>
            <a:ext uri="{FF2B5EF4-FFF2-40B4-BE49-F238E27FC236}">
              <a16:creationId xmlns:a16="http://schemas.microsoft.com/office/drawing/2014/main" id="{00000000-0008-0000-0100-000033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38</xdr:row>
      <xdr:rowOff>0</xdr:rowOff>
    </xdr:from>
    <xdr:ext cx="333375" cy="342900"/>
    <xdr:sp macro="" textlink="">
      <xdr:nvSpPr>
        <xdr:cNvPr id="1076" name="Check Box 198" hidden="1">
          <a:extLst>
            <a:ext uri="{63B3BB69-23CF-44E3-9099-C40C66FF867C}">
              <a14:compatExt xmlns:a14="http://schemas.microsoft.com/office/drawing/2010/main" spid="_x0000_s5318"/>
            </a:ext>
            <a:ext uri="{FF2B5EF4-FFF2-40B4-BE49-F238E27FC236}">
              <a16:creationId xmlns:a16="http://schemas.microsoft.com/office/drawing/2014/main" id="{00000000-0008-0000-0100-000034040000}"/>
            </a:ext>
          </a:extLst>
        </xdr:cNvPr>
        <xdr:cNvSpPr/>
      </xdr:nvSpPr>
      <xdr:spPr bwMode="auto">
        <a:xfrm>
          <a:off x="13224510"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77" name="Check Box 199" hidden="1">
          <a:extLst>
            <a:ext uri="{63B3BB69-23CF-44E3-9099-C40C66FF867C}">
              <a14:compatExt xmlns:a14="http://schemas.microsoft.com/office/drawing/2010/main" spid="_x0000_s5319"/>
            </a:ext>
            <a:ext uri="{FF2B5EF4-FFF2-40B4-BE49-F238E27FC236}">
              <a16:creationId xmlns:a16="http://schemas.microsoft.com/office/drawing/2014/main" id="{00000000-0008-0000-0100-000035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78" name="Check Box 200" hidden="1">
          <a:extLst>
            <a:ext uri="{63B3BB69-23CF-44E3-9099-C40C66FF867C}">
              <a14:compatExt xmlns:a14="http://schemas.microsoft.com/office/drawing/2010/main" spid="_x0000_s5320"/>
            </a:ext>
            <a:ext uri="{FF2B5EF4-FFF2-40B4-BE49-F238E27FC236}">
              <a16:creationId xmlns:a16="http://schemas.microsoft.com/office/drawing/2014/main" id="{00000000-0008-0000-0100-000036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79" name="Check Box 201" hidden="1">
          <a:extLst>
            <a:ext uri="{63B3BB69-23CF-44E3-9099-C40C66FF867C}">
              <a14:compatExt xmlns:a14="http://schemas.microsoft.com/office/drawing/2010/main" spid="_x0000_s5321"/>
            </a:ext>
            <a:ext uri="{FF2B5EF4-FFF2-40B4-BE49-F238E27FC236}">
              <a16:creationId xmlns:a16="http://schemas.microsoft.com/office/drawing/2014/main" id="{00000000-0008-0000-0100-000037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80" name="Check Box 202" hidden="1">
          <a:extLst>
            <a:ext uri="{63B3BB69-23CF-44E3-9099-C40C66FF867C}">
              <a14:compatExt xmlns:a14="http://schemas.microsoft.com/office/drawing/2010/main" spid="_x0000_s5322"/>
            </a:ext>
            <a:ext uri="{FF2B5EF4-FFF2-40B4-BE49-F238E27FC236}">
              <a16:creationId xmlns:a16="http://schemas.microsoft.com/office/drawing/2014/main" id="{00000000-0008-0000-0100-000038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81" name="Check Box 203" hidden="1">
          <a:extLst>
            <a:ext uri="{63B3BB69-23CF-44E3-9099-C40C66FF867C}">
              <a14:compatExt xmlns:a14="http://schemas.microsoft.com/office/drawing/2010/main" spid="_x0000_s5323"/>
            </a:ext>
            <a:ext uri="{FF2B5EF4-FFF2-40B4-BE49-F238E27FC236}">
              <a16:creationId xmlns:a16="http://schemas.microsoft.com/office/drawing/2014/main" id="{00000000-0008-0000-0100-000039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082"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100-00003A04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83"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100-00003B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84"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100-00003C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85"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100-00003D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86"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100-00003E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087"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100-00003F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088"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100-000040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89"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100-000041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90"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100-000042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91"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100-000043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92"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100-000044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93"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100-000045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094"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100-000046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95"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100-000047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96"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100-000048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97"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100-000049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98"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100-00004A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099" name="Check Box 221" hidden="1">
          <a:extLst>
            <a:ext uri="{63B3BB69-23CF-44E3-9099-C40C66FF867C}">
              <a14:compatExt xmlns:a14="http://schemas.microsoft.com/office/drawing/2010/main" spid="_x0000_s5341"/>
            </a:ext>
            <a:ext uri="{FF2B5EF4-FFF2-40B4-BE49-F238E27FC236}">
              <a16:creationId xmlns:a16="http://schemas.microsoft.com/office/drawing/2014/main" id="{00000000-0008-0000-0100-00004B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00"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100-00004C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38</xdr:row>
      <xdr:rowOff>0</xdr:rowOff>
    </xdr:from>
    <xdr:ext cx="333375" cy="1383030"/>
    <xdr:sp macro="" textlink="">
      <xdr:nvSpPr>
        <xdr:cNvPr id="1101"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100-00004D040000}"/>
            </a:ext>
          </a:extLst>
        </xdr:cNvPr>
        <xdr:cNvSpPr/>
      </xdr:nvSpPr>
      <xdr:spPr bwMode="auto">
        <a:xfrm>
          <a:off x="13224510" y="105399840"/>
          <a:ext cx="333375"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383030"/>
    <xdr:sp macro="" textlink="">
      <xdr:nvSpPr>
        <xdr:cNvPr id="1102"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100-00004E040000}"/>
            </a:ext>
          </a:extLst>
        </xdr:cNvPr>
        <xdr:cNvSpPr/>
      </xdr:nvSpPr>
      <xdr:spPr bwMode="auto">
        <a:xfrm>
          <a:off x="13205460" y="105399840"/>
          <a:ext cx="342900"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316355"/>
    <xdr:sp macro="" textlink="">
      <xdr:nvSpPr>
        <xdr:cNvPr id="1103"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100-00004F040000}"/>
            </a:ext>
          </a:extLst>
        </xdr:cNvPr>
        <xdr:cNvSpPr/>
      </xdr:nvSpPr>
      <xdr:spPr bwMode="auto">
        <a:xfrm>
          <a:off x="13205460" y="105399840"/>
          <a:ext cx="342900" cy="13163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325880"/>
    <xdr:sp macro="" textlink="">
      <xdr:nvSpPr>
        <xdr:cNvPr id="1104"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100-000050040000}"/>
            </a:ext>
          </a:extLst>
        </xdr:cNvPr>
        <xdr:cNvSpPr/>
      </xdr:nvSpPr>
      <xdr:spPr bwMode="auto">
        <a:xfrm>
          <a:off x="13205460" y="105399840"/>
          <a:ext cx="342900" cy="1325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344930"/>
    <xdr:sp macro="" textlink="">
      <xdr:nvSpPr>
        <xdr:cNvPr id="1105"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100-000051040000}"/>
            </a:ext>
          </a:extLst>
        </xdr:cNvPr>
        <xdr:cNvSpPr/>
      </xdr:nvSpPr>
      <xdr:spPr bwMode="auto">
        <a:xfrm>
          <a:off x="13205460" y="105399840"/>
          <a:ext cx="342900" cy="13449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2247900"/>
    <xdr:sp macro="" textlink="">
      <xdr:nvSpPr>
        <xdr:cNvPr id="1106" name="Check Box 228" hidden="1">
          <a:extLst>
            <a:ext uri="{63B3BB69-23CF-44E3-9099-C40C66FF867C}">
              <a14:compatExt xmlns:a14="http://schemas.microsoft.com/office/drawing/2010/main" spid="_x0000_s5348"/>
            </a:ext>
            <a:ext uri="{FF2B5EF4-FFF2-40B4-BE49-F238E27FC236}">
              <a16:creationId xmlns:a16="http://schemas.microsoft.com/office/drawing/2014/main" id="{00000000-0008-0000-0100-000052040000}"/>
            </a:ext>
          </a:extLst>
        </xdr:cNvPr>
        <xdr:cNvSpPr/>
      </xdr:nvSpPr>
      <xdr:spPr bwMode="auto">
        <a:xfrm>
          <a:off x="13205460" y="105399840"/>
          <a:ext cx="342900" cy="2247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1611630"/>
    <xdr:sp macro="" textlink="">
      <xdr:nvSpPr>
        <xdr:cNvPr id="1107"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100-000053040000}"/>
            </a:ext>
          </a:extLst>
        </xdr:cNvPr>
        <xdr:cNvSpPr/>
      </xdr:nvSpPr>
      <xdr:spPr bwMode="auto">
        <a:xfrm>
          <a:off x="13214985" y="105399840"/>
          <a:ext cx="333375" cy="1611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602105"/>
    <xdr:sp macro="" textlink="">
      <xdr:nvSpPr>
        <xdr:cNvPr id="1108"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100-000054040000}"/>
            </a:ext>
          </a:extLst>
        </xdr:cNvPr>
        <xdr:cNvSpPr/>
      </xdr:nvSpPr>
      <xdr:spPr bwMode="auto">
        <a:xfrm>
          <a:off x="13205460" y="105399840"/>
          <a:ext cx="342900" cy="16021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544955"/>
    <xdr:sp macro="" textlink="">
      <xdr:nvSpPr>
        <xdr:cNvPr id="1109"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100-000055040000}"/>
            </a:ext>
          </a:extLst>
        </xdr:cNvPr>
        <xdr:cNvSpPr/>
      </xdr:nvSpPr>
      <xdr:spPr bwMode="auto">
        <a:xfrm>
          <a:off x="13205460" y="10539984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544955"/>
    <xdr:sp macro="" textlink="">
      <xdr:nvSpPr>
        <xdr:cNvPr id="1110"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100-000056040000}"/>
            </a:ext>
          </a:extLst>
        </xdr:cNvPr>
        <xdr:cNvSpPr/>
      </xdr:nvSpPr>
      <xdr:spPr bwMode="auto">
        <a:xfrm>
          <a:off x="13205460" y="10539984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544955"/>
    <xdr:sp macro="" textlink="">
      <xdr:nvSpPr>
        <xdr:cNvPr id="1111"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100-000057040000}"/>
            </a:ext>
          </a:extLst>
        </xdr:cNvPr>
        <xdr:cNvSpPr/>
      </xdr:nvSpPr>
      <xdr:spPr bwMode="auto">
        <a:xfrm>
          <a:off x="13205460" y="10539984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2472690"/>
    <xdr:sp macro="" textlink="">
      <xdr:nvSpPr>
        <xdr:cNvPr id="1112" name="Check Box 234" hidden="1">
          <a:extLst>
            <a:ext uri="{63B3BB69-23CF-44E3-9099-C40C66FF867C}">
              <a14:compatExt xmlns:a14="http://schemas.microsoft.com/office/drawing/2010/main" spid="_x0000_s5354"/>
            </a:ext>
            <a:ext uri="{FF2B5EF4-FFF2-40B4-BE49-F238E27FC236}">
              <a16:creationId xmlns:a16="http://schemas.microsoft.com/office/drawing/2014/main" id="{00000000-0008-0000-0100-000058040000}"/>
            </a:ext>
          </a:extLst>
        </xdr:cNvPr>
        <xdr:cNvSpPr/>
      </xdr:nvSpPr>
      <xdr:spPr bwMode="auto">
        <a:xfrm>
          <a:off x="13205460" y="105399840"/>
          <a:ext cx="342900" cy="24726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1535430"/>
    <xdr:sp macro="" textlink="">
      <xdr:nvSpPr>
        <xdr:cNvPr id="1113" name="Check Box 235" hidden="1">
          <a:extLst>
            <a:ext uri="{63B3BB69-23CF-44E3-9099-C40C66FF867C}">
              <a14:compatExt xmlns:a14="http://schemas.microsoft.com/office/drawing/2010/main" spid="_x0000_s5355"/>
            </a:ext>
            <a:ext uri="{FF2B5EF4-FFF2-40B4-BE49-F238E27FC236}">
              <a16:creationId xmlns:a16="http://schemas.microsoft.com/office/drawing/2014/main" id="{00000000-0008-0000-0100-000059040000}"/>
            </a:ext>
          </a:extLst>
        </xdr:cNvPr>
        <xdr:cNvSpPr/>
      </xdr:nvSpPr>
      <xdr:spPr bwMode="auto">
        <a:xfrm>
          <a:off x="13176885" y="105399840"/>
          <a:ext cx="333375" cy="15354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1525905"/>
    <xdr:sp macro="" textlink="">
      <xdr:nvSpPr>
        <xdr:cNvPr id="1114" name="Check Box 236" hidden="1">
          <a:extLst>
            <a:ext uri="{63B3BB69-23CF-44E3-9099-C40C66FF867C}">
              <a14:compatExt xmlns:a14="http://schemas.microsoft.com/office/drawing/2010/main" spid="_x0000_s5356"/>
            </a:ext>
            <a:ext uri="{FF2B5EF4-FFF2-40B4-BE49-F238E27FC236}">
              <a16:creationId xmlns:a16="http://schemas.microsoft.com/office/drawing/2014/main" id="{00000000-0008-0000-0100-00005A040000}"/>
            </a:ext>
          </a:extLst>
        </xdr:cNvPr>
        <xdr:cNvSpPr/>
      </xdr:nvSpPr>
      <xdr:spPr bwMode="auto">
        <a:xfrm>
          <a:off x="13167360" y="105399840"/>
          <a:ext cx="342900" cy="15259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1478280"/>
    <xdr:sp macro="" textlink="">
      <xdr:nvSpPr>
        <xdr:cNvPr id="1115" name="Check Box 237" hidden="1">
          <a:extLst>
            <a:ext uri="{63B3BB69-23CF-44E3-9099-C40C66FF867C}">
              <a14:compatExt xmlns:a14="http://schemas.microsoft.com/office/drawing/2010/main" spid="_x0000_s5357"/>
            </a:ext>
            <a:ext uri="{FF2B5EF4-FFF2-40B4-BE49-F238E27FC236}">
              <a16:creationId xmlns:a16="http://schemas.microsoft.com/office/drawing/2014/main" id="{00000000-0008-0000-0100-00005B040000}"/>
            </a:ext>
          </a:extLst>
        </xdr:cNvPr>
        <xdr:cNvSpPr/>
      </xdr:nvSpPr>
      <xdr:spPr bwMode="auto">
        <a:xfrm>
          <a:off x="13167360" y="105399840"/>
          <a:ext cx="342900" cy="14782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1468755"/>
    <xdr:sp macro="" textlink="">
      <xdr:nvSpPr>
        <xdr:cNvPr id="1116" name="Check Box 238" hidden="1">
          <a:extLst>
            <a:ext uri="{63B3BB69-23CF-44E3-9099-C40C66FF867C}">
              <a14:compatExt xmlns:a14="http://schemas.microsoft.com/office/drawing/2010/main" spid="_x0000_s5358"/>
            </a:ext>
            <a:ext uri="{FF2B5EF4-FFF2-40B4-BE49-F238E27FC236}">
              <a16:creationId xmlns:a16="http://schemas.microsoft.com/office/drawing/2014/main" id="{00000000-0008-0000-0100-00005C040000}"/>
            </a:ext>
          </a:extLst>
        </xdr:cNvPr>
        <xdr:cNvSpPr/>
      </xdr:nvSpPr>
      <xdr:spPr bwMode="auto">
        <a:xfrm>
          <a:off x="13167360" y="10539984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1468755"/>
    <xdr:sp macro="" textlink="">
      <xdr:nvSpPr>
        <xdr:cNvPr id="1117" name="Check Box 239" hidden="1">
          <a:extLst>
            <a:ext uri="{63B3BB69-23CF-44E3-9099-C40C66FF867C}">
              <a14:compatExt xmlns:a14="http://schemas.microsoft.com/office/drawing/2010/main" spid="_x0000_s5359"/>
            </a:ext>
            <a:ext uri="{FF2B5EF4-FFF2-40B4-BE49-F238E27FC236}">
              <a16:creationId xmlns:a16="http://schemas.microsoft.com/office/drawing/2014/main" id="{00000000-0008-0000-0100-00005D040000}"/>
            </a:ext>
          </a:extLst>
        </xdr:cNvPr>
        <xdr:cNvSpPr/>
      </xdr:nvSpPr>
      <xdr:spPr bwMode="auto">
        <a:xfrm>
          <a:off x="13167360" y="10539984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118"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100-00005E04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19"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100-00005F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20"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100-000060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21"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100-000061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22"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100-000062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23"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100-000063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124"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100-00006404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25"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100-000065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26"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100-000066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27"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100-000067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28"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100-000068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29"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100-000069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130"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100-00006A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31"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100-00006B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32"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100-00006C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33"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100-00006D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34"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100-00006E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35"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100-00006F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136"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100-000070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37"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100-000071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38"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100-000072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39"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100-000073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40"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100-000074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41"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100-000075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142"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100-00007604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43"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100-000077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44"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100-000078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45"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100-000079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46"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100-00007A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47"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100-00007B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148"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100-00007C04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49"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100-00007D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50"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100-00007E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51"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100-00007F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52"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100-000080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53"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100-000081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154"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100-000082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55"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100-000083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56"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100-000084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57"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100-000085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58"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100-000086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59"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100-000087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160"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100-000088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61"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100-000089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62"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100-00008A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63"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100-00008B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64"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100-00008C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65"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100-00008D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166"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100-00008E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67"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100-00008F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68"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100-000090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69"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100-000091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70"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100-000092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71"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100-000093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172"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100-000094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73"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100-000095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74"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100-000096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75"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100-000097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76"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100-000098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77"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100-000099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178"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100-00009A04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79"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100-00009B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80"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100-00009C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81"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100-00009D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82"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100-00009E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83"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100-00009F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184"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100-0000A004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85"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100-0000A1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86"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100-0000A2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87"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100-0000A3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88"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100-0000A4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189"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100-0000A5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38</xdr:row>
      <xdr:rowOff>0</xdr:rowOff>
    </xdr:from>
    <xdr:ext cx="333375" cy="1390650"/>
    <xdr:sp macro="" textlink="">
      <xdr:nvSpPr>
        <xdr:cNvPr id="1190"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100-0000A6040000}"/>
            </a:ext>
          </a:extLst>
        </xdr:cNvPr>
        <xdr:cNvSpPr/>
      </xdr:nvSpPr>
      <xdr:spPr bwMode="auto">
        <a:xfrm>
          <a:off x="13224510" y="10539984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390650"/>
    <xdr:sp macro="" textlink="">
      <xdr:nvSpPr>
        <xdr:cNvPr id="1191"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100-0000A7040000}"/>
            </a:ext>
          </a:extLst>
        </xdr:cNvPr>
        <xdr:cNvSpPr/>
      </xdr:nvSpPr>
      <xdr:spPr bwMode="auto">
        <a:xfrm>
          <a:off x="13205460" y="10539984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323975"/>
    <xdr:sp macro="" textlink="">
      <xdr:nvSpPr>
        <xdr:cNvPr id="1192"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100-0000A8040000}"/>
            </a:ext>
          </a:extLst>
        </xdr:cNvPr>
        <xdr:cNvSpPr/>
      </xdr:nvSpPr>
      <xdr:spPr bwMode="auto">
        <a:xfrm>
          <a:off x="13205460" y="10539984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333500"/>
    <xdr:sp macro="" textlink="">
      <xdr:nvSpPr>
        <xdr:cNvPr id="1193"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100-0000A9040000}"/>
            </a:ext>
          </a:extLst>
        </xdr:cNvPr>
        <xdr:cNvSpPr/>
      </xdr:nvSpPr>
      <xdr:spPr bwMode="auto">
        <a:xfrm>
          <a:off x="13205460" y="10539984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352550"/>
    <xdr:sp macro="" textlink="">
      <xdr:nvSpPr>
        <xdr:cNvPr id="1194"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100-0000AA040000}"/>
            </a:ext>
          </a:extLst>
        </xdr:cNvPr>
        <xdr:cNvSpPr/>
      </xdr:nvSpPr>
      <xdr:spPr bwMode="auto">
        <a:xfrm>
          <a:off x="13205460" y="10539984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195"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100-0000AB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96"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100-0000AC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97"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100-0000AD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98"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100-0000AE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199"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100-0000AF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00"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100-0000B0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201"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100-0000B1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02"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100-0000B2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03"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100-0000B3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04"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100-0000B4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05"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100-0000B5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06"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100-0000B6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207"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100-0000B7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08"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100-0000B8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09"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100-0000B9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10"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100-0000BA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11"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100-0000BB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12"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100-0000BC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213"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100-0000BD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14"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100-0000BE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15"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100-0000BF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16"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100-0000C0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17"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100-0000C1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18"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100-0000C2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219"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100-0000C304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20"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100-0000C4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21"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100-0000C5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22"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100-0000C6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23"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100-0000C7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24"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100-0000C8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225"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100-0000C904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26"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100-0000CA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27"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100-0000CB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28"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100-0000CC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29"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100-0000CD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30"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100-0000CE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1619250"/>
    <xdr:sp macro="" textlink="">
      <xdr:nvSpPr>
        <xdr:cNvPr id="1231"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100-0000CF040000}"/>
            </a:ext>
          </a:extLst>
        </xdr:cNvPr>
        <xdr:cNvSpPr/>
      </xdr:nvSpPr>
      <xdr:spPr bwMode="auto">
        <a:xfrm>
          <a:off x="13214985" y="105399840"/>
          <a:ext cx="333375" cy="1619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609725"/>
    <xdr:sp macro="" textlink="">
      <xdr:nvSpPr>
        <xdr:cNvPr id="1232"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100-0000D0040000}"/>
            </a:ext>
          </a:extLst>
        </xdr:cNvPr>
        <xdr:cNvSpPr/>
      </xdr:nvSpPr>
      <xdr:spPr bwMode="auto">
        <a:xfrm>
          <a:off x="13205460" y="105399840"/>
          <a:ext cx="342900" cy="16097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552575"/>
    <xdr:sp macro="" textlink="">
      <xdr:nvSpPr>
        <xdr:cNvPr id="1233"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100-0000D1040000}"/>
            </a:ext>
          </a:extLst>
        </xdr:cNvPr>
        <xdr:cNvSpPr/>
      </xdr:nvSpPr>
      <xdr:spPr bwMode="auto">
        <a:xfrm>
          <a:off x="13205460" y="10539984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552575"/>
    <xdr:sp macro="" textlink="">
      <xdr:nvSpPr>
        <xdr:cNvPr id="1234"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100-0000D2040000}"/>
            </a:ext>
          </a:extLst>
        </xdr:cNvPr>
        <xdr:cNvSpPr/>
      </xdr:nvSpPr>
      <xdr:spPr bwMode="auto">
        <a:xfrm>
          <a:off x="13205460" y="10539984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552575"/>
    <xdr:sp macro="" textlink="">
      <xdr:nvSpPr>
        <xdr:cNvPr id="1235"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100-0000D3040000}"/>
            </a:ext>
          </a:extLst>
        </xdr:cNvPr>
        <xdr:cNvSpPr/>
      </xdr:nvSpPr>
      <xdr:spPr bwMode="auto">
        <a:xfrm>
          <a:off x="13205460" y="10539984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38</xdr:row>
      <xdr:rowOff>0</xdr:rowOff>
    </xdr:from>
    <xdr:ext cx="333375" cy="1390650"/>
    <xdr:sp macro="" textlink="">
      <xdr:nvSpPr>
        <xdr:cNvPr id="1236"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100-0000D4040000}"/>
            </a:ext>
          </a:extLst>
        </xdr:cNvPr>
        <xdr:cNvSpPr/>
      </xdr:nvSpPr>
      <xdr:spPr bwMode="auto">
        <a:xfrm>
          <a:off x="13224510" y="10539984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390650"/>
    <xdr:sp macro="" textlink="">
      <xdr:nvSpPr>
        <xdr:cNvPr id="1237"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100-0000D5040000}"/>
            </a:ext>
          </a:extLst>
        </xdr:cNvPr>
        <xdr:cNvSpPr/>
      </xdr:nvSpPr>
      <xdr:spPr bwMode="auto">
        <a:xfrm>
          <a:off x="13205460" y="10539984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323975"/>
    <xdr:sp macro="" textlink="">
      <xdr:nvSpPr>
        <xdr:cNvPr id="1238"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100-0000D6040000}"/>
            </a:ext>
          </a:extLst>
        </xdr:cNvPr>
        <xdr:cNvSpPr/>
      </xdr:nvSpPr>
      <xdr:spPr bwMode="auto">
        <a:xfrm>
          <a:off x="13205460" y="10539984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333500"/>
    <xdr:sp macro="" textlink="">
      <xdr:nvSpPr>
        <xdr:cNvPr id="1239"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100-0000D7040000}"/>
            </a:ext>
          </a:extLst>
        </xdr:cNvPr>
        <xdr:cNvSpPr/>
      </xdr:nvSpPr>
      <xdr:spPr bwMode="auto">
        <a:xfrm>
          <a:off x="13205460" y="10539984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1352550"/>
    <xdr:sp macro="" textlink="">
      <xdr:nvSpPr>
        <xdr:cNvPr id="1240"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100-0000D8040000}"/>
            </a:ext>
          </a:extLst>
        </xdr:cNvPr>
        <xdr:cNvSpPr/>
      </xdr:nvSpPr>
      <xdr:spPr bwMode="auto">
        <a:xfrm>
          <a:off x="13205460" y="10539984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241"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100-0000D9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42"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100-0000DA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43"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100-0000DB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44"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100-0000DC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45"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100-0000DD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46"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100-0000DE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247"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100-0000DF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48"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100-0000E0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49"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100-0000E1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50"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100-0000E2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51"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100-0000E3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52"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100-0000E4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253"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100-0000E5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54"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100-0000E6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55"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100-0000E7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56"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100-0000E8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57"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100-0000E9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58"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100-0000EA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259"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100-0000EB04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60"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100-0000EC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61"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100-0000ED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62"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100-0000EE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63"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100-0000EF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264"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100-0000F004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265"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100-0000F104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66"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100-0000F2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67"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100-0000F3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68"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100-0000F4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69"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100-0000F5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70"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100-0000F6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271"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100-0000F7040000}"/>
            </a:ext>
          </a:extLst>
        </xdr:cNvPr>
        <xdr:cNvSpPr/>
      </xdr:nvSpPr>
      <xdr:spPr bwMode="auto">
        <a:xfrm>
          <a:off x="132149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72"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100-0000F8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73"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100-0000F9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74"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100-0000FA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75"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100-0000FB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76"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100-0000FC040000}"/>
            </a:ext>
          </a:extLst>
        </xdr:cNvPr>
        <xdr:cNvSpPr/>
      </xdr:nvSpPr>
      <xdr:spPr bwMode="auto">
        <a:xfrm>
          <a:off x="132054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34</xdr:row>
          <xdr:rowOff>419100</xdr:rowOff>
        </xdr:from>
        <xdr:to>
          <xdr:col>6</xdr:col>
          <xdr:colOff>1019175</xdr:colOff>
          <xdr:row>34</xdr:row>
          <xdr:rowOff>762000</xdr:rowOff>
        </xdr:to>
        <xdr:sp macro="" textlink="">
          <xdr:nvSpPr>
            <xdr:cNvPr id="5" name="Check Box 26" hidden="1">
              <a:extLst>
                <a:ext uri="{63B3BB69-23CF-44E3-9099-C40C66FF867C}">
                  <a14:compatExt spid="_x0000_s1050"/>
                </a:ext>
                <a:ext uri="{FF2B5EF4-FFF2-40B4-BE49-F238E27FC236}">
                  <a16:creationId xmlns:a16="http://schemas.microsoft.com/office/drawing/2014/main" id="{00000000-0008-0000-01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35</xdr:row>
          <xdr:rowOff>485775</xdr:rowOff>
        </xdr:from>
        <xdr:to>
          <xdr:col>6</xdr:col>
          <xdr:colOff>1019175</xdr:colOff>
          <xdr:row>35</xdr:row>
          <xdr:rowOff>828675</xdr:rowOff>
        </xdr:to>
        <xdr:sp macro="" textlink="">
          <xdr:nvSpPr>
            <xdr:cNvPr id="1349" name="Check Box 27" hidden="1">
              <a:extLst>
                <a:ext uri="{63B3BB69-23CF-44E3-9099-C40C66FF867C}">
                  <a14:compatExt spid="_x0000_s1051"/>
                </a:ext>
                <a:ext uri="{FF2B5EF4-FFF2-40B4-BE49-F238E27FC236}">
                  <a16:creationId xmlns:a16="http://schemas.microsoft.com/office/drawing/2014/main" id="{00000000-0008-0000-0100-00004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36</xdr:row>
          <xdr:rowOff>485775</xdr:rowOff>
        </xdr:from>
        <xdr:to>
          <xdr:col>6</xdr:col>
          <xdr:colOff>1019175</xdr:colOff>
          <xdr:row>36</xdr:row>
          <xdr:rowOff>828675</xdr:rowOff>
        </xdr:to>
        <xdr:sp macro="" textlink="">
          <xdr:nvSpPr>
            <xdr:cNvPr id="1350" name="Check Box 28" hidden="1">
              <a:extLst>
                <a:ext uri="{63B3BB69-23CF-44E3-9099-C40C66FF867C}">
                  <a14:compatExt spid="_x0000_s1052"/>
                </a:ext>
                <a:ext uri="{FF2B5EF4-FFF2-40B4-BE49-F238E27FC236}">
                  <a16:creationId xmlns:a16="http://schemas.microsoft.com/office/drawing/2014/main" id="{00000000-0008-0000-0100-00004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37</xdr:row>
          <xdr:rowOff>457200</xdr:rowOff>
        </xdr:from>
        <xdr:to>
          <xdr:col>6</xdr:col>
          <xdr:colOff>1019175</xdr:colOff>
          <xdr:row>37</xdr:row>
          <xdr:rowOff>809625</xdr:rowOff>
        </xdr:to>
        <xdr:sp macro="" textlink="">
          <xdr:nvSpPr>
            <xdr:cNvPr id="1351" name="Check Box 29" hidden="1">
              <a:extLst>
                <a:ext uri="{63B3BB69-23CF-44E3-9099-C40C66FF867C}">
                  <a14:compatExt spid="_x0000_s1053"/>
                </a:ext>
                <a:ext uri="{FF2B5EF4-FFF2-40B4-BE49-F238E27FC236}">
                  <a16:creationId xmlns:a16="http://schemas.microsoft.com/office/drawing/2014/main" id="{00000000-0008-0000-0100-00004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34</xdr:row>
      <xdr:rowOff>0</xdr:rowOff>
    </xdr:from>
    <xdr:ext cx="333375" cy="342900"/>
    <xdr:sp macro="" textlink="">
      <xdr:nvSpPr>
        <xdr:cNvPr id="1283"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100-000003050000}"/>
            </a:ext>
          </a:extLst>
        </xdr:cNvPr>
        <xdr:cNvSpPr/>
      </xdr:nvSpPr>
      <xdr:spPr bwMode="auto">
        <a:xfrm>
          <a:off x="13224510" y="30573345"/>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34</xdr:row>
      <xdr:rowOff>180975</xdr:rowOff>
    </xdr:from>
    <xdr:ext cx="342900" cy="342900"/>
    <xdr:sp macro="" textlink="">
      <xdr:nvSpPr>
        <xdr:cNvPr id="1284"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100-000004050000}"/>
            </a:ext>
          </a:extLst>
        </xdr:cNvPr>
        <xdr:cNvSpPr/>
      </xdr:nvSpPr>
      <xdr:spPr bwMode="auto">
        <a:xfrm>
          <a:off x="13205460" y="317887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35</xdr:row>
      <xdr:rowOff>247650</xdr:rowOff>
    </xdr:from>
    <xdr:ext cx="342900" cy="342900"/>
    <xdr:sp macro="" textlink="">
      <xdr:nvSpPr>
        <xdr:cNvPr id="1285"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100-000005050000}"/>
            </a:ext>
          </a:extLst>
        </xdr:cNvPr>
        <xdr:cNvSpPr/>
      </xdr:nvSpPr>
      <xdr:spPr bwMode="auto">
        <a:xfrm>
          <a:off x="13205460" y="330136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36</xdr:row>
      <xdr:rowOff>238125</xdr:rowOff>
    </xdr:from>
    <xdr:ext cx="342900" cy="342900"/>
    <xdr:sp macro="" textlink="">
      <xdr:nvSpPr>
        <xdr:cNvPr id="1286"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100-000006050000}"/>
            </a:ext>
          </a:extLst>
        </xdr:cNvPr>
        <xdr:cNvSpPr/>
      </xdr:nvSpPr>
      <xdr:spPr bwMode="auto">
        <a:xfrm>
          <a:off x="13205460" y="3433762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37</xdr:row>
      <xdr:rowOff>219075</xdr:rowOff>
    </xdr:from>
    <xdr:ext cx="342900" cy="342900"/>
    <xdr:sp macro="" textlink="">
      <xdr:nvSpPr>
        <xdr:cNvPr id="1287"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100-000007050000}"/>
            </a:ext>
          </a:extLst>
        </xdr:cNvPr>
        <xdr:cNvSpPr/>
      </xdr:nvSpPr>
      <xdr:spPr bwMode="auto">
        <a:xfrm>
          <a:off x="13205460" y="3578161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28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100-000008050000}"/>
            </a:ext>
          </a:extLst>
        </xdr:cNvPr>
        <xdr:cNvSpPr/>
      </xdr:nvSpPr>
      <xdr:spPr bwMode="auto">
        <a:xfrm>
          <a:off x="13205460" y="369303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28</xdr:row>
          <xdr:rowOff>419100</xdr:rowOff>
        </xdr:from>
        <xdr:to>
          <xdr:col>6</xdr:col>
          <xdr:colOff>1019175</xdr:colOff>
          <xdr:row>28</xdr:row>
          <xdr:rowOff>762000</xdr:rowOff>
        </xdr:to>
        <xdr:sp macro="" textlink="">
          <xdr:nvSpPr>
            <xdr:cNvPr id="1352" name="Check Box 32" hidden="1">
              <a:extLst>
                <a:ext uri="{63B3BB69-23CF-44E3-9099-C40C66FF867C}">
                  <a14:compatExt spid="_x0000_s1056"/>
                </a:ext>
                <a:ext uri="{FF2B5EF4-FFF2-40B4-BE49-F238E27FC236}">
                  <a16:creationId xmlns:a16="http://schemas.microsoft.com/office/drawing/2014/main" id="{00000000-0008-0000-0100-00004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29</xdr:row>
          <xdr:rowOff>485775</xdr:rowOff>
        </xdr:from>
        <xdr:to>
          <xdr:col>6</xdr:col>
          <xdr:colOff>1019175</xdr:colOff>
          <xdr:row>29</xdr:row>
          <xdr:rowOff>828675</xdr:rowOff>
        </xdr:to>
        <xdr:sp macro="" textlink="">
          <xdr:nvSpPr>
            <xdr:cNvPr id="1353" name="Check Box 33" hidden="1">
              <a:extLst>
                <a:ext uri="{63B3BB69-23CF-44E3-9099-C40C66FF867C}">
                  <a14:compatExt spid="_x0000_s1057"/>
                </a:ext>
                <a:ext uri="{FF2B5EF4-FFF2-40B4-BE49-F238E27FC236}">
                  <a16:creationId xmlns:a16="http://schemas.microsoft.com/office/drawing/2014/main" id="{00000000-0008-0000-0100-00004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30</xdr:row>
          <xdr:rowOff>485775</xdr:rowOff>
        </xdr:from>
        <xdr:to>
          <xdr:col>6</xdr:col>
          <xdr:colOff>1019175</xdr:colOff>
          <xdr:row>30</xdr:row>
          <xdr:rowOff>828675</xdr:rowOff>
        </xdr:to>
        <xdr:sp macro="" textlink="">
          <xdr:nvSpPr>
            <xdr:cNvPr id="1354" name="Check Box 34" hidden="1">
              <a:extLst>
                <a:ext uri="{63B3BB69-23CF-44E3-9099-C40C66FF867C}">
                  <a14:compatExt spid="_x0000_s1058"/>
                </a:ext>
                <a:ext uri="{FF2B5EF4-FFF2-40B4-BE49-F238E27FC236}">
                  <a16:creationId xmlns:a16="http://schemas.microsoft.com/office/drawing/2014/main" id="{00000000-0008-0000-0100-00004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31</xdr:row>
          <xdr:rowOff>457200</xdr:rowOff>
        </xdr:from>
        <xdr:to>
          <xdr:col>6</xdr:col>
          <xdr:colOff>1019175</xdr:colOff>
          <xdr:row>31</xdr:row>
          <xdr:rowOff>809625</xdr:rowOff>
        </xdr:to>
        <xdr:sp macro="" textlink="">
          <xdr:nvSpPr>
            <xdr:cNvPr id="1367" name="Check Box 35" hidden="1">
              <a:extLst>
                <a:ext uri="{63B3BB69-23CF-44E3-9099-C40C66FF867C}">
                  <a14:compatExt spid="_x0000_s1059"/>
                </a:ext>
                <a:ext uri="{FF2B5EF4-FFF2-40B4-BE49-F238E27FC236}">
                  <a16:creationId xmlns:a16="http://schemas.microsoft.com/office/drawing/2014/main" id="{00000000-0008-0000-0100-00005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28</xdr:row>
      <xdr:rowOff>0</xdr:rowOff>
    </xdr:from>
    <xdr:ext cx="333375" cy="342900"/>
    <xdr:sp macro="" textlink="">
      <xdr:nvSpPr>
        <xdr:cNvPr id="1295"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100-00000F050000}"/>
            </a:ext>
          </a:extLst>
        </xdr:cNvPr>
        <xdr:cNvSpPr/>
      </xdr:nvSpPr>
      <xdr:spPr bwMode="auto">
        <a:xfrm>
          <a:off x="13224510" y="21848445"/>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28</xdr:row>
      <xdr:rowOff>180975</xdr:rowOff>
    </xdr:from>
    <xdr:ext cx="342900" cy="342900"/>
    <xdr:sp macro="" textlink="">
      <xdr:nvSpPr>
        <xdr:cNvPr id="1296"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100-000010050000}"/>
            </a:ext>
          </a:extLst>
        </xdr:cNvPr>
        <xdr:cNvSpPr/>
      </xdr:nvSpPr>
      <xdr:spPr bwMode="auto">
        <a:xfrm>
          <a:off x="13205460" y="230638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29</xdr:row>
      <xdr:rowOff>247650</xdr:rowOff>
    </xdr:from>
    <xdr:ext cx="342900" cy="342900"/>
    <xdr:sp macro="" textlink="">
      <xdr:nvSpPr>
        <xdr:cNvPr id="1297"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100-000011050000}"/>
            </a:ext>
          </a:extLst>
        </xdr:cNvPr>
        <xdr:cNvSpPr/>
      </xdr:nvSpPr>
      <xdr:spPr bwMode="auto">
        <a:xfrm>
          <a:off x="13205460" y="242887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30</xdr:row>
      <xdr:rowOff>238125</xdr:rowOff>
    </xdr:from>
    <xdr:ext cx="342900" cy="342900"/>
    <xdr:sp macro="" textlink="">
      <xdr:nvSpPr>
        <xdr:cNvPr id="1298"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100-000012050000}"/>
            </a:ext>
          </a:extLst>
        </xdr:cNvPr>
        <xdr:cNvSpPr/>
      </xdr:nvSpPr>
      <xdr:spPr bwMode="auto">
        <a:xfrm>
          <a:off x="13205460" y="2571178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31</xdr:row>
      <xdr:rowOff>219075</xdr:rowOff>
    </xdr:from>
    <xdr:ext cx="342900" cy="342900"/>
    <xdr:sp macro="" textlink="">
      <xdr:nvSpPr>
        <xdr:cNvPr id="1299"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100-000013050000}"/>
            </a:ext>
          </a:extLst>
        </xdr:cNvPr>
        <xdr:cNvSpPr/>
      </xdr:nvSpPr>
      <xdr:spPr bwMode="auto">
        <a:xfrm>
          <a:off x="13205460" y="2700337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300"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100-000014050000}"/>
            </a:ext>
          </a:extLst>
        </xdr:cNvPr>
        <xdr:cNvSpPr/>
      </xdr:nvSpPr>
      <xdr:spPr bwMode="auto">
        <a:xfrm>
          <a:off x="13205460" y="283806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22</xdr:row>
          <xdr:rowOff>333375</xdr:rowOff>
        </xdr:from>
        <xdr:to>
          <xdr:col>6</xdr:col>
          <xdr:colOff>1019175</xdr:colOff>
          <xdr:row>22</xdr:row>
          <xdr:rowOff>676275</xdr:rowOff>
        </xdr:to>
        <xdr:sp macro="" textlink="">
          <xdr:nvSpPr>
            <xdr:cNvPr id="1368" name="Check Box 38" hidden="1">
              <a:extLst>
                <a:ext uri="{63B3BB69-23CF-44E3-9099-C40C66FF867C}">
                  <a14:compatExt spid="_x0000_s1062"/>
                </a:ext>
                <a:ext uri="{FF2B5EF4-FFF2-40B4-BE49-F238E27FC236}">
                  <a16:creationId xmlns:a16="http://schemas.microsoft.com/office/drawing/2014/main" id="{00000000-0008-0000-0100-00005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23</xdr:row>
          <xdr:rowOff>409575</xdr:rowOff>
        </xdr:from>
        <xdr:to>
          <xdr:col>6</xdr:col>
          <xdr:colOff>1019175</xdr:colOff>
          <xdr:row>23</xdr:row>
          <xdr:rowOff>752475</xdr:rowOff>
        </xdr:to>
        <xdr:sp macro="" textlink="">
          <xdr:nvSpPr>
            <xdr:cNvPr id="1369" name="Check Box 39" hidden="1">
              <a:extLst>
                <a:ext uri="{63B3BB69-23CF-44E3-9099-C40C66FF867C}">
                  <a14:compatExt spid="_x0000_s1063"/>
                </a:ext>
                <a:ext uri="{FF2B5EF4-FFF2-40B4-BE49-F238E27FC236}">
                  <a16:creationId xmlns:a16="http://schemas.microsoft.com/office/drawing/2014/main" id="{00000000-0008-0000-0100-00005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24</xdr:row>
          <xdr:rowOff>390525</xdr:rowOff>
        </xdr:from>
        <xdr:to>
          <xdr:col>6</xdr:col>
          <xdr:colOff>1019175</xdr:colOff>
          <xdr:row>24</xdr:row>
          <xdr:rowOff>733425</xdr:rowOff>
        </xdr:to>
        <xdr:sp macro="" textlink="">
          <xdr:nvSpPr>
            <xdr:cNvPr id="1370" name="Check Box 40" hidden="1">
              <a:extLst>
                <a:ext uri="{63B3BB69-23CF-44E3-9099-C40C66FF867C}">
                  <a14:compatExt spid="_x0000_s1064"/>
                </a:ext>
                <a:ext uri="{FF2B5EF4-FFF2-40B4-BE49-F238E27FC236}">
                  <a16:creationId xmlns:a16="http://schemas.microsoft.com/office/drawing/2014/main" id="{00000000-0008-0000-0100-00005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25</xdr:row>
          <xdr:rowOff>371475</xdr:rowOff>
        </xdr:from>
        <xdr:to>
          <xdr:col>6</xdr:col>
          <xdr:colOff>1019175</xdr:colOff>
          <xdr:row>25</xdr:row>
          <xdr:rowOff>714375</xdr:rowOff>
        </xdr:to>
        <xdr:sp macro="" textlink="">
          <xdr:nvSpPr>
            <xdr:cNvPr id="1371" name="Check Box 41" hidden="1">
              <a:extLst>
                <a:ext uri="{63B3BB69-23CF-44E3-9099-C40C66FF867C}">
                  <a14:compatExt spid="_x0000_s1065"/>
                </a:ext>
                <a:ext uri="{FF2B5EF4-FFF2-40B4-BE49-F238E27FC236}">
                  <a16:creationId xmlns:a16="http://schemas.microsoft.com/office/drawing/2014/main" id="{00000000-0008-0000-0100-00005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22</xdr:row>
      <xdr:rowOff>0</xdr:rowOff>
    </xdr:from>
    <xdr:ext cx="333375" cy="342900"/>
    <xdr:sp macro="" textlink="">
      <xdr:nvSpPr>
        <xdr:cNvPr id="1307"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100-00001B050000}"/>
            </a:ext>
          </a:extLst>
        </xdr:cNvPr>
        <xdr:cNvSpPr/>
      </xdr:nvSpPr>
      <xdr:spPr bwMode="auto">
        <a:xfrm>
          <a:off x="13224510" y="13443585"/>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22</xdr:row>
      <xdr:rowOff>180975</xdr:rowOff>
    </xdr:from>
    <xdr:ext cx="342900" cy="342900"/>
    <xdr:sp macro="" textlink="">
      <xdr:nvSpPr>
        <xdr:cNvPr id="1308"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100-00001C050000}"/>
            </a:ext>
          </a:extLst>
        </xdr:cNvPr>
        <xdr:cNvSpPr/>
      </xdr:nvSpPr>
      <xdr:spPr bwMode="auto">
        <a:xfrm>
          <a:off x="13205460" y="1465897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23</xdr:row>
      <xdr:rowOff>247650</xdr:rowOff>
    </xdr:from>
    <xdr:ext cx="342900" cy="342900"/>
    <xdr:sp macro="" textlink="">
      <xdr:nvSpPr>
        <xdr:cNvPr id="1309"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100-00001D050000}"/>
            </a:ext>
          </a:extLst>
        </xdr:cNvPr>
        <xdr:cNvSpPr/>
      </xdr:nvSpPr>
      <xdr:spPr bwMode="auto">
        <a:xfrm>
          <a:off x="13205460" y="158838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24</xdr:row>
      <xdr:rowOff>238125</xdr:rowOff>
    </xdr:from>
    <xdr:ext cx="342900" cy="342900"/>
    <xdr:sp macro="" textlink="">
      <xdr:nvSpPr>
        <xdr:cNvPr id="1310"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100-00001E050000}"/>
            </a:ext>
          </a:extLst>
        </xdr:cNvPr>
        <xdr:cNvSpPr/>
      </xdr:nvSpPr>
      <xdr:spPr bwMode="auto">
        <a:xfrm>
          <a:off x="13205460" y="1703260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25</xdr:row>
      <xdr:rowOff>219075</xdr:rowOff>
    </xdr:from>
    <xdr:ext cx="342900" cy="342900"/>
    <xdr:sp macro="" textlink="">
      <xdr:nvSpPr>
        <xdr:cNvPr id="1311"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100-00001F050000}"/>
            </a:ext>
          </a:extLst>
        </xdr:cNvPr>
        <xdr:cNvSpPr/>
      </xdr:nvSpPr>
      <xdr:spPr bwMode="auto">
        <a:xfrm>
          <a:off x="13205460" y="1817179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312"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100-000020050000}"/>
            </a:ext>
          </a:extLst>
        </xdr:cNvPr>
        <xdr:cNvSpPr/>
      </xdr:nvSpPr>
      <xdr:spPr bwMode="auto">
        <a:xfrm>
          <a:off x="13205460" y="1954911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319"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100-000027050000}"/>
            </a:ext>
          </a:extLst>
        </xdr:cNvPr>
        <xdr:cNvSpPr/>
      </xdr:nvSpPr>
      <xdr:spPr bwMode="auto">
        <a:xfrm>
          <a:off x="13214985" y="5642991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320"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100-000028050000}"/>
            </a:ext>
          </a:extLst>
        </xdr:cNvPr>
        <xdr:cNvSpPr/>
      </xdr:nvSpPr>
      <xdr:spPr bwMode="auto">
        <a:xfrm>
          <a:off x="13205460" y="576453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321"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100-000029050000}"/>
            </a:ext>
          </a:extLst>
        </xdr:cNvPr>
        <xdr:cNvSpPr/>
      </xdr:nvSpPr>
      <xdr:spPr bwMode="auto">
        <a:xfrm>
          <a:off x="13205460" y="588606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322"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100-00002A050000}"/>
            </a:ext>
          </a:extLst>
        </xdr:cNvPr>
        <xdr:cNvSpPr/>
      </xdr:nvSpPr>
      <xdr:spPr bwMode="auto">
        <a:xfrm>
          <a:off x="13205460" y="600189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323"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100-00002B050000}"/>
            </a:ext>
          </a:extLst>
        </xdr:cNvPr>
        <xdr:cNvSpPr/>
      </xdr:nvSpPr>
      <xdr:spPr bwMode="auto">
        <a:xfrm>
          <a:off x="13205460" y="611771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324"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100-00002C050000}"/>
            </a:ext>
          </a:extLst>
        </xdr:cNvPr>
        <xdr:cNvSpPr/>
      </xdr:nvSpPr>
      <xdr:spPr bwMode="auto">
        <a:xfrm>
          <a:off x="13205460" y="623449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38</xdr:row>
      <xdr:rowOff>0</xdr:rowOff>
    </xdr:from>
    <xdr:ext cx="333375" cy="342900"/>
    <xdr:sp macro="" textlink="">
      <xdr:nvSpPr>
        <xdr:cNvPr id="1331"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100-000033050000}"/>
            </a:ext>
          </a:extLst>
        </xdr:cNvPr>
        <xdr:cNvSpPr/>
      </xdr:nvSpPr>
      <xdr:spPr bwMode="auto">
        <a:xfrm>
          <a:off x="13214985" y="4804791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332"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100-000034050000}"/>
            </a:ext>
          </a:extLst>
        </xdr:cNvPr>
        <xdr:cNvSpPr/>
      </xdr:nvSpPr>
      <xdr:spPr bwMode="auto">
        <a:xfrm>
          <a:off x="13205460" y="492633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333"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100-000035050000}"/>
            </a:ext>
          </a:extLst>
        </xdr:cNvPr>
        <xdr:cNvSpPr/>
      </xdr:nvSpPr>
      <xdr:spPr bwMode="auto">
        <a:xfrm>
          <a:off x="13205460" y="504786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334"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100-000036050000}"/>
            </a:ext>
          </a:extLst>
        </xdr:cNvPr>
        <xdr:cNvSpPr/>
      </xdr:nvSpPr>
      <xdr:spPr bwMode="auto">
        <a:xfrm>
          <a:off x="13205460" y="516369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335"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100-000037050000}"/>
            </a:ext>
          </a:extLst>
        </xdr:cNvPr>
        <xdr:cNvSpPr/>
      </xdr:nvSpPr>
      <xdr:spPr bwMode="auto">
        <a:xfrm>
          <a:off x="13205460" y="527951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336"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100-000038050000}"/>
            </a:ext>
          </a:extLst>
        </xdr:cNvPr>
        <xdr:cNvSpPr/>
      </xdr:nvSpPr>
      <xdr:spPr bwMode="auto">
        <a:xfrm>
          <a:off x="13205460" y="539629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343"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100-00003F050000}"/>
            </a:ext>
          </a:extLst>
        </xdr:cNvPr>
        <xdr:cNvSpPr/>
      </xdr:nvSpPr>
      <xdr:spPr bwMode="auto">
        <a:xfrm>
          <a:off x="13176885" y="8147685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44"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100-000040050000}"/>
            </a:ext>
          </a:extLst>
        </xdr:cNvPr>
        <xdr:cNvSpPr/>
      </xdr:nvSpPr>
      <xdr:spPr bwMode="auto">
        <a:xfrm>
          <a:off x="13167360" y="826922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45"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100-000041050000}"/>
            </a:ext>
          </a:extLst>
        </xdr:cNvPr>
        <xdr:cNvSpPr/>
      </xdr:nvSpPr>
      <xdr:spPr bwMode="auto">
        <a:xfrm>
          <a:off x="13167360" y="8389810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46"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100-000042050000}"/>
            </a:ext>
          </a:extLst>
        </xdr:cNvPr>
        <xdr:cNvSpPr/>
      </xdr:nvSpPr>
      <xdr:spPr bwMode="auto">
        <a:xfrm>
          <a:off x="13167360" y="850658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47"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100-000043050000}"/>
            </a:ext>
          </a:extLst>
        </xdr:cNvPr>
        <xdr:cNvSpPr/>
      </xdr:nvSpPr>
      <xdr:spPr bwMode="auto">
        <a:xfrm>
          <a:off x="13167360" y="8622411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48"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100-000044050000}"/>
            </a:ext>
          </a:extLst>
        </xdr:cNvPr>
        <xdr:cNvSpPr/>
      </xdr:nvSpPr>
      <xdr:spPr bwMode="auto">
        <a:xfrm>
          <a:off x="13167360" y="873823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355"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100-00004B050000}"/>
            </a:ext>
          </a:extLst>
        </xdr:cNvPr>
        <xdr:cNvSpPr/>
      </xdr:nvSpPr>
      <xdr:spPr bwMode="auto">
        <a:xfrm>
          <a:off x="13176885" y="7322439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56"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100-00004C050000}"/>
            </a:ext>
          </a:extLst>
        </xdr:cNvPr>
        <xdr:cNvSpPr/>
      </xdr:nvSpPr>
      <xdr:spPr bwMode="auto">
        <a:xfrm>
          <a:off x="13167360" y="7443978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57"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100-00004D050000}"/>
            </a:ext>
          </a:extLst>
        </xdr:cNvPr>
        <xdr:cNvSpPr/>
      </xdr:nvSpPr>
      <xdr:spPr bwMode="auto">
        <a:xfrm>
          <a:off x="13167360" y="7564564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58"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100-00004E050000}"/>
            </a:ext>
          </a:extLst>
        </xdr:cNvPr>
        <xdr:cNvSpPr/>
      </xdr:nvSpPr>
      <xdr:spPr bwMode="auto">
        <a:xfrm>
          <a:off x="13167360" y="7681341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59"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100-00004F050000}"/>
            </a:ext>
          </a:extLst>
        </xdr:cNvPr>
        <xdr:cNvSpPr/>
      </xdr:nvSpPr>
      <xdr:spPr bwMode="auto">
        <a:xfrm>
          <a:off x="13167360" y="779716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60"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100-000050050000}"/>
            </a:ext>
          </a:extLst>
        </xdr:cNvPr>
        <xdr:cNvSpPr/>
      </xdr:nvSpPr>
      <xdr:spPr bwMode="auto">
        <a:xfrm>
          <a:off x="13167360" y="791298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361"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100-00005105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62"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100-00005205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63"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100-00005305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64"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100-00005405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65"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100-00005505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66"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100-00005605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373"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100-00005D050000}"/>
            </a:ext>
          </a:extLst>
        </xdr:cNvPr>
        <xdr:cNvSpPr/>
      </xdr:nvSpPr>
      <xdr:spPr bwMode="auto">
        <a:xfrm>
          <a:off x="13176885" y="9804273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74"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100-00005E050000}"/>
            </a:ext>
          </a:extLst>
        </xdr:cNvPr>
        <xdr:cNvSpPr/>
      </xdr:nvSpPr>
      <xdr:spPr bwMode="auto">
        <a:xfrm>
          <a:off x="13167360" y="992581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75"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100-00005F050000}"/>
            </a:ext>
          </a:extLst>
        </xdr:cNvPr>
        <xdr:cNvSpPr/>
      </xdr:nvSpPr>
      <xdr:spPr bwMode="auto">
        <a:xfrm>
          <a:off x="13167360" y="10046398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76"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100-000060050000}"/>
            </a:ext>
          </a:extLst>
        </xdr:cNvPr>
        <xdr:cNvSpPr/>
      </xdr:nvSpPr>
      <xdr:spPr bwMode="auto">
        <a:xfrm>
          <a:off x="13167360" y="1016317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77"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100-000061050000}"/>
            </a:ext>
          </a:extLst>
        </xdr:cNvPr>
        <xdr:cNvSpPr/>
      </xdr:nvSpPr>
      <xdr:spPr bwMode="auto">
        <a:xfrm>
          <a:off x="13167360" y="1027899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78"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100-000062050000}"/>
            </a:ext>
          </a:extLst>
        </xdr:cNvPr>
        <xdr:cNvSpPr/>
      </xdr:nvSpPr>
      <xdr:spPr bwMode="auto">
        <a:xfrm>
          <a:off x="13167360" y="1041844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38</xdr:row>
      <xdr:rowOff>0</xdr:rowOff>
    </xdr:from>
    <xdr:ext cx="333375" cy="342900"/>
    <xdr:sp macro="" textlink="">
      <xdr:nvSpPr>
        <xdr:cNvPr id="1379"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100-000063050000}"/>
            </a:ext>
          </a:extLst>
        </xdr:cNvPr>
        <xdr:cNvSpPr/>
      </xdr:nvSpPr>
      <xdr:spPr bwMode="auto">
        <a:xfrm>
          <a:off x="13176885" y="1053998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80"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100-00006405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81"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100-00006505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82"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100-00006605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83"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100-00006705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38</xdr:row>
      <xdr:rowOff>0</xdr:rowOff>
    </xdr:from>
    <xdr:ext cx="342900" cy="342900"/>
    <xdr:sp macro="" textlink="">
      <xdr:nvSpPr>
        <xdr:cNvPr id="1384"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100-000068050000}"/>
            </a:ext>
          </a:extLst>
        </xdr:cNvPr>
        <xdr:cNvSpPr/>
      </xdr:nvSpPr>
      <xdr:spPr bwMode="auto">
        <a:xfrm>
          <a:off x="13167360" y="105399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123825</xdr:colOff>
      <xdr:row>0</xdr:row>
      <xdr:rowOff>85726</xdr:rowOff>
    </xdr:from>
    <xdr:ext cx="0" cy="730672"/>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6</xdr:col>
          <xdr:colOff>676275</xdr:colOff>
          <xdr:row>16</xdr:row>
          <xdr:rowOff>342900</xdr:rowOff>
        </xdr:from>
        <xdr:to>
          <xdr:col>6</xdr:col>
          <xdr:colOff>1019175</xdr:colOff>
          <xdr:row>16</xdr:row>
          <xdr:rowOff>695325</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2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17</xdr:row>
          <xdr:rowOff>409575</xdr:rowOff>
        </xdr:from>
        <xdr:to>
          <xdr:col>6</xdr:col>
          <xdr:colOff>1019175</xdr:colOff>
          <xdr:row>17</xdr:row>
          <xdr:rowOff>752475</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2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18</xdr:row>
          <xdr:rowOff>409575</xdr:rowOff>
        </xdr:from>
        <xdr:to>
          <xdr:col>6</xdr:col>
          <xdr:colOff>1019175</xdr:colOff>
          <xdr:row>18</xdr:row>
          <xdr:rowOff>752475</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2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19</xdr:row>
          <xdr:rowOff>381000</xdr:rowOff>
        </xdr:from>
        <xdr:to>
          <xdr:col>6</xdr:col>
          <xdr:colOff>1019175</xdr:colOff>
          <xdr:row>19</xdr:row>
          <xdr:rowOff>733425</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2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32</xdr:row>
      <xdr:rowOff>0</xdr:rowOff>
    </xdr:from>
    <xdr:ext cx="333375" cy="342900"/>
    <xdr:sp macro="" textlink="">
      <xdr:nvSpPr>
        <xdr:cNvPr id="6" name="Check Box 90" hidden="1">
          <a:extLst>
            <a:ext uri="{63B3BB69-23CF-44E3-9099-C40C66FF867C}">
              <a14:compatExt xmlns:a14="http://schemas.microsoft.com/office/drawing/2010/main" spid="_x0000_s5210"/>
            </a:ext>
            <a:ext uri="{FF2B5EF4-FFF2-40B4-BE49-F238E27FC236}">
              <a16:creationId xmlns:a16="http://schemas.microsoft.com/office/drawing/2014/main" id="{00000000-0008-0000-0200-000006000000}"/>
            </a:ext>
          </a:extLst>
        </xdr:cNvPr>
        <xdr:cNvSpPr/>
      </xdr:nvSpPr>
      <xdr:spPr bwMode="auto">
        <a:xfrm>
          <a:off x="13224510"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7" name="Check Box 91" hidden="1">
          <a:extLst>
            <a:ext uri="{63B3BB69-23CF-44E3-9099-C40C66FF867C}">
              <a14:compatExt xmlns:a14="http://schemas.microsoft.com/office/drawing/2010/main" spid="_x0000_s5211"/>
            </a:ext>
            <a:ext uri="{FF2B5EF4-FFF2-40B4-BE49-F238E27FC236}">
              <a16:creationId xmlns:a16="http://schemas.microsoft.com/office/drawing/2014/main" id="{00000000-0008-0000-0200-0000070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 name="Check Box 92" hidden="1">
          <a:extLst>
            <a:ext uri="{63B3BB69-23CF-44E3-9099-C40C66FF867C}">
              <a14:compatExt xmlns:a14="http://schemas.microsoft.com/office/drawing/2010/main" spid="_x0000_s5212"/>
            </a:ext>
            <a:ext uri="{FF2B5EF4-FFF2-40B4-BE49-F238E27FC236}">
              <a16:creationId xmlns:a16="http://schemas.microsoft.com/office/drawing/2014/main" id="{00000000-0008-0000-0200-0000080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9" name="Check Box 93" hidden="1">
          <a:extLst>
            <a:ext uri="{63B3BB69-23CF-44E3-9099-C40C66FF867C}">
              <a14:compatExt xmlns:a14="http://schemas.microsoft.com/office/drawing/2010/main" spid="_x0000_s5213"/>
            </a:ext>
            <a:ext uri="{FF2B5EF4-FFF2-40B4-BE49-F238E27FC236}">
              <a16:creationId xmlns:a16="http://schemas.microsoft.com/office/drawing/2014/main" id="{00000000-0008-0000-0200-0000090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0" name="Check Box 94" hidden="1">
          <a:extLst>
            <a:ext uri="{63B3BB69-23CF-44E3-9099-C40C66FF867C}">
              <a14:compatExt xmlns:a14="http://schemas.microsoft.com/office/drawing/2010/main" spid="_x0000_s5214"/>
            </a:ext>
            <a:ext uri="{FF2B5EF4-FFF2-40B4-BE49-F238E27FC236}">
              <a16:creationId xmlns:a16="http://schemas.microsoft.com/office/drawing/2014/main" id="{00000000-0008-0000-0200-00000A0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1" name="Check Box 95" hidden="1">
          <a:extLst>
            <a:ext uri="{63B3BB69-23CF-44E3-9099-C40C66FF867C}">
              <a14:compatExt xmlns:a14="http://schemas.microsoft.com/office/drawing/2010/main" spid="_x0000_s5215"/>
            </a:ext>
            <a:ext uri="{FF2B5EF4-FFF2-40B4-BE49-F238E27FC236}">
              <a16:creationId xmlns:a16="http://schemas.microsoft.com/office/drawing/2014/main" id="{00000000-0008-0000-0200-00000B0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2"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200-00000C0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3"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200-00000D0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4"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200-00000E0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200-00000F0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200-0000100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7"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200-0000110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8"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200-0000120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9"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200-000013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0"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200-000014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1"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200-000015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2"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200-000016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3"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200-000017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24"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200-0000180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5"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200-000019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6"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200-00001A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7"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200-00001B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8"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200-00001C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9"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200-00001D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123825</xdr:colOff>
      <xdr:row>0</xdr:row>
      <xdr:rowOff>85726</xdr:rowOff>
    </xdr:from>
    <xdr:ext cx="0" cy="730672"/>
    <xdr:pic>
      <xdr:nvPicPr>
        <xdr:cNvPr id="30" name="Imagen 29">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1" name="Imagen 30">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32" name="Imagen 31">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xdr:oneCellAnchor>
    <xdr:from>
      <xdr:col>6</xdr:col>
      <xdr:colOff>1009650</xdr:colOff>
      <xdr:row>16</xdr:row>
      <xdr:rowOff>0</xdr:rowOff>
    </xdr:from>
    <xdr:ext cx="333375" cy="342900"/>
    <xdr:sp macro="" textlink="">
      <xdr:nvSpPr>
        <xdr:cNvPr id="33"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200-000021000000}"/>
            </a:ext>
          </a:extLst>
        </xdr:cNvPr>
        <xdr:cNvSpPr/>
      </xdr:nvSpPr>
      <xdr:spPr bwMode="auto">
        <a:xfrm>
          <a:off x="13224510" y="536448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16</xdr:row>
      <xdr:rowOff>180975</xdr:rowOff>
    </xdr:from>
    <xdr:ext cx="342900" cy="342900"/>
    <xdr:sp macro="" textlink="">
      <xdr:nvSpPr>
        <xdr:cNvPr id="34"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200-000022000000}"/>
            </a:ext>
          </a:extLst>
        </xdr:cNvPr>
        <xdr:cNvSpPr/>
      </xdr:nvSpPr>
      <xdr:spPr bwMode="auto">
        <a:xfrm>
          <a:off x="13205460" y="554545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17</xdr:row>
      <xdr:rowOff>247650</xdr:rowOff>
    </xdr:from>
    <xdr:ext cx="342900" cy="342900"/>
    <xdr:sp macro="" textlink="">
      <xdr:nvSpPr>
        <xdr:cNvPr id="35"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200-000023000000}"/>
            </a:ext>
          </a:extLst>
        </xdr:cNvPr>
        <xdr:cNvSpPr/>
      </xdr:nvSpPr>
      <xdr:spPr bwMode="auto">
        <a:xfrm>
          <a:off x="13205460" y="68541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18</xdr:row>
      <xdr:rowOff>238125</xdr:rowOff>
    </xdr:from>
    <xdr:ext cx="342900" cy="342900"/>
    <xdr:sp macro="" textlink="">
      <xdr:nvSpPr>
        <xdr:cNvPr id="36"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200-000024000000}"/>
            </a:ext>
          </a:extLst>
        </xdr:cNvPr>
        <xdr:cNvSpPr/>
      </xdr:nvSpPr>
      <xdr:spPr bwMode="auto">
        <a:xfrm>
          <a:off x="13205460" y="808672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19</xdr:row>
      <xdr:rowOff>219075</xdr:rowOff>
    </xdr:from>
    <xdr:ext cx="342900" cy="342900"/>
    <xdr:sp macro="" textlink="">
      <xdr:nvSpPr>
        <xdr:cNvPr id="37"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200-000025000000}"/>
            </a:ext>
          </a:extLst>
        </xdr:cNvPr>
        <xdr:cNvSpPr/>
      </xdr:nvSpPr>
      <xdr:spPr bwMode="auto">
        <a:xfrm>
          <a:off x="13205460" y="93097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3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26000000}"/>
            </a:ext>
          </a:extLst>
        </xdr:cNvPr>
        <xdr:cNvSpPr/>
      </xdr:nvSpPr>
      <xdr:spPr bwMode="auto">
        <a:xfrm>
          <a:off x="13205460" y="105765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39"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200-000027000000}"/>
            </a:ext>
          </a:extLst>
        </xdr:cNvPr>
        <xdr:cNvSpPr/>
      </xdr:nvSpPr>
      <xdr:spPr bwMode="auto">
        <a:xfrm>
          <a:off x="13214985" y="3031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0"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200-000028000000}"/>
            </a:ext>
          </a:extLst>
        </xdr:cNvPr>
        <xdr:cNvSpPr/>
      </xdr:nvSpPr>
      <xdr:spPr bwMode="auto">
        <a:xfrm>
          <a:off x="13205460" y="305028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1"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200-000029000000}"/>
            </a:ext>
          </a:extLst>
        </xdr:cNvPr>
        <xdr:cNvSpPr/>
      </xdr:nvSpPr>
      <xdr:spPr bwMode="auto">
        <a:xfrm>
          <a:off x="13205460" y="318020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2"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200-00002A000000}"/>
            </a:ext>
          </a:extLst>
        </xdr:cNvPr>
        <xdr:cNvSpPr/>
      </xdr:nvSpPr>
      <xdr:spPr bwMode="auto">
        <a:xfrm>
          <a:off x="13205460" y="330441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3"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200-00002B000000}"/>
            </a:ext>
          </a:extLst>
        </xdr:cNvPr>
        <xdr:cNvSpPr/>
      </xdr:nvSpPr>
      <xdr:spPr bwMode="auto">
        <a:xfrm>
          <a:off x="13205460" y="342861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4"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200-00002C000000}"/>
            </a:ext>
          </a:extLst>
        </xdr:cNvPr>
        <xdr:cNvSpPr/>
      </xdr:nvSpPr>
      <xdr:spPr bwMode="auto">
        <a:xfrm>
          <a:off x="13205460" y="352806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45"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200-00002D0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46"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200-00002E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47"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200-00002F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48"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200-000030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49"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200-000031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0"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200-000032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51"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200-0000330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2"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200-000034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3"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200-000035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4"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200-000036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5"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200-000037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6"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200-000038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57"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200-0000390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8"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200-00003A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9"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200-00003B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60"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200-00003C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61"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200-00003D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62"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200-00003E0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342900"/>
    <xdr:sp macro="" textlink="">
      <xdr:nvSpPr>
        <xdr:cNvPr id="63" name="Check Box 169" hidden="1">
          <a:extLst>
            <a:ext uri="{63B3BB69-23CF-44E3-9099-C40C66FF867C}">
              <a14:compatExt xmlns:a14="http://schemas.microsoft.com/office/drawing/2010/main" spid="_x0000_s5289"/>
            </a:ext>
            <a:ext uri="{FF2B5EF4-FFF2-40B4-BE49-F238E27FC236}">
              <a16:creationId xmlns:a16="http://schemas.microsoft.com/office/drawing/2014/main" id="{00000000-0008-0000-0200-00003F000000}"/>
            </a:ext>
          </a:extLst>
        </xdr:cNvPr>
        <xdr:cNvSpPr/>
      </xdr:nvSpPr>
      <xdr:spPr bwMode="auto">
        <a:xfrm>
          <a:off x="13224510"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192" name="Check Box 170" hidden="1">
          <a:extLst>
            <a:ext uri="{63B3BB69-23CF-44E3-9099-C40C66FF867C}">
              <a14:compatExt xmlns:a14="http://schemas.microsoft.com/office/drawing/2010/main" spid="_x0000_s5290"/>
            </a:ext>
            <a:ext uri="{FF2B5EF4-FFF2-40B4-BE49-F238E27FC236}">
              <a16:creationId xmlns:a16="http://schemas.microsoft.com/office/drawing/2014/main" id="{00000000-0008-0000-0200-000000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01" name="Check Box 171" hidden="1">
          <a:extLst>
            <a:ext uri="{63B3BB69-23CF-44E3-9099-C40C66FF867C}">
              <a14:compatExt xmlns:a14="http://schemas.microsoft.com/office/drawing/2010/main" spid="_x0000_s5291"/>
            </a:ext>
            <a:ext uri="{FF2B5EF4-FFF2-40B4-BE49-F238E27FC236}">
              <a16:creationId xmlns:a16="http://schemas.microsoft.com/office/drawing/2014/main" id="{00000000-0008-0000-0200-000009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02" name="Check Box 172" hidden="1">
          <a:extLst>
            <a:ext uri="{63B3BB69-23CF-44E3-9099-C40C66FF867C}">
              <a14:compatExt xmlns:a14="http://schemas.microsoft.com/office/drawing/2010/main" spid="_x0000_s5292"/>
            </a:ext>
            <a:ext uri="{FF2B5EF4-FFF2-40B4-BE49-F238E27FC236}">
              <a16:creationId xmlns:a16="http://schemas.microsoft.com/office/drawing/2014/main" id="{00000000-0008-0000-0200-00000A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03" name="Check Box 173" hidden="1">
          <a:extLst>
            <a:ext uri="{63B3BB69-23CF-44E3-9099-C40C66FF867C}">
              <a14:compatExt xmlns:a14="http://schemas.microsoft.com/office/drawing/2010/main" spid="_x0000_s5293"/>
            </a:ext>
            <a:ext uri="{FF2B5EF4-FFF2-40B4-BE49-F238E27FC236}">
              <a16:creationId xmlns:a16="http://schemas.microsoft.com/office/drawing/2014/main" id="{00000000-0008-0000-0200-00000B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04" name="Check Box 174" hidden="1">
          <a:extLst>
            <a:ext uri="{63B3BB69-23CF-44E3-9099-C40C66FF867C}">
              <a14:compatExt xmlns:a14="http://schemas.microsoft.com/office/drawing/2010/main" spid="_x0000_s5294"/>
            </a:ext>
            <a:ext uri="{FF2B5EF4-FFF2-40B4-BE49-F238E27FC236}">
              <a16:creationId xmlns:a16="http://schemas.microsoft.com/office/drawing/2014/main" id="{00000000-0008-0000-0200-00000C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205" name="Check Box 175" hidden="1">
          <a:extLst>
            <a:ext uri="{63B3BB69-23CF-44E3-9099-C40C66FF867C}">
              <a14:compatExt xmlns:a14="http://schemas.microsoft.com/office/drawing/2010/main" spid="_x0000_s5295"/>
            </a:ext>
            <a:ext uri="{FF2B5EF4-FFF2-40B4-BE49-F238E27FC236}">
              <a16:creationId xmlns:a16="http://schemas.microsoft.com/office/drawing/2014/main" id="{00000000-0008-0000-0200-00000D2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06" name="Check Box 176" hidden="1">
          <a:extLst>
            <a:ext uri="{63B3BB69-23CF-44E3-9099-C40C66FF867C}">
              <a14:compatExt xmlns:a14="http://schemas.microsoft.com/office/drawing/2010/main" spid="_x0000_s5296"/>
            </a:ext>
            <a:ext uri="{FF2B5EF4-FFF2-40B4-BE49-F238E27FC236}">
              <a16:creationId xmlns:a16="http://schemas.microsoft.com/office/drawing/2014/main" id="{00000000-0008-0000-0200-00000E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07" name="Check Box 177" hidden="1">
          <a:extLst>
            <a:ext uri="{63B3BB69-23CF-44E3-9099-C40C66FF867C}">
              <a14:compatExt xmlns:a14="http://schemas.microsoft.com/office/drawing/2010/main" spid="_x0000_s5297"/>
            </a:ext>
            <a:ext uri="{FF2B5EF4-FFF2-40B4-BE49-F238E27FC236}">
              <a16:creationId xmlns:a16="http://schemas.microsoft.com/office/drawing/2014/main" id="{00000000-0008-0000-0200-00000F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08" name="Check Box 178" hidden="1">
          <a:extLst>
            <a:ext uri="{63B3BB69-23CF-44E3-9099-C40C66FF867C}">
              <a14:compatExt xmlns:a14="http://schemas.microsoft.com/office/drawing/2010/main" spid="_x0000_s5298"/>
            </a:ext>
            <a:ext uri="{FF2B5EF4-FFF2-40B4-BE49-F238E27FC236}">
              <a16:creationId xmlns:a16="http://schemas.microsoft.com/office/drawing/2014/main" id="{00000000-0008-0000-0200-000010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09" name="Check Box 179" hidden="1">
          <a:extLst>
            <a:ext uri="{63B3BB69-23CF-44E3-9099-C40C66FF867C}">
              <a14:compatExt xmlns:a14="http://schemas.microsoft.com/office/drawing/2010/main" spid="_x0000_s5299"/>
            </a:ext>
            <a:ext uri="{FF2B5EF4-FFF2-40B4-BE49-F238E27FC236}">
              <a16:creationId xmlns:a16="http://schemas.microsoft.com/office/drawing/2014/main" id="{00000000-0008-0000-0200-000011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10" name="Check Box 180" hidden="1">
          <a:extLst>
            <a:ext uri="{63B3BB69-23CF-44E3-9099-C40C66FF867C}">
              <a14:compatExt xmlns:a14="http://schemas.microsoft.com/office/drawing/2010/main" spid="_x0000_s5300"/>
            </a:ext>
            <a:ext uri="{FF2B5EF4-FFF2-40B4-BE49-F238E27FC236}">
              <a16:creationId xmlns:a16="http://schemas.microsoft.com/office/drawing/2014/main" id="{00000000-0008-0000-0200-000012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211" name="Check Box 181" hidden="1">
          <a:extLst>
            <a:ext uri="{63B3BB69-23CF-44E3-9099-C40C66FF867C}">
              <a14:compatExt xmlns:a14="http://schemas.microsoft.com/office/drawing/2010/main" spid="_x0000_s5301"/>
            </a:ext>
            <a:ext uri="{FF2B5EF4-FFF2-40B4-BE49-F238E27FC236}">
              <a16:creationId xmlns:a16="http://schemas.microsoft.com/office/drawing/2014/main" id="{00000000-0008-0000-0200-000013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12" name="Check Box 182" hidden="1">
          <a:extLst>
            <a:ext uri="{63B3BB69-23CF-44E3-9099-C40C66FF867C}">
              <a14:compatExt xmlns:a14="http://schemas.microsoft.com/office/drawing/2010/main" spid="_x0000_s5302"/>
            </a:ext>
            <a:ext uri="{FF2B5EF4-FFF2-40B4-BE49-F238E27FC236}">
              <a16:creationId xmlns:a16="http://schemas.microsoft.com/office/drawing/2014/main" id="{00000000-0008-0000-0200-000014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13" name="Check Box 183" hidden="1">
          <a:extLst>
            <a:ext uri="{63B3BB69-23CF-44E3-9099-C40C66FF867C}">
              <a14:compatExt xmlns:a14="http://schemas.microsoft.com/office/drawing/2010/main" spid="_x0000_s5303"/>
            </a:ext>
            <a:ext uri="{FF2B5EF4-FFF2-40B4-BE49-F238E27FC236}">
              <a16:creationId xmlns:a16="http://schemas.microsoft.com/office/drawing/2014/main" id="{00000000-0008-0000-0200-000015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14" name="Check Box 184" hidden="1">
          <a:extLst>
            <a:ext uri="{63B3BB69-23CF-44E3-9099-C40C66FF867C}">
              <a14:compatExt xmlns:a14="http://schemas.microsoft.com/office/drawing/2010/main" spid="_x0000_s5304"/>
            </a:ext>
            <a:ext uri="{FF2B5EF4-FFF2-40B4-BE49-F238E27FC236}">
              <a16:creationId xmlns:a16="http://schemas.microsoft.com/office/drawing/2014/main" id="{00000000-0008-0000-0200-000016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15" name="Check Box 185" hidden="1">
          <a:extLst>
            <a:ext uri="{63B3BB69-23CF-44E3-9099-C40C66FF867C}">
              <a14:compatExt xmlns:a14="http://schemas.microsoft.com/office/drawing/2010/main" spid="_x0000_s5305"/>
            </a:ext>
            <a:ext uri="{FF2B5EF4-FFF2-40B4-BE49-F238E27FC236}">
              <a16:creationId xmlns:a16="http://schemas.microsoft.com/office/drawing/2014/main" id="{00000000-0008-0000-0200-000017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16" name="Check Box 186" hidden="1">
          <a:extLst>
            <a:ext uri="{63B3BB69-23CF-44E3-9099-C40C66FF867C}">
              <a14:compatExt xmlns:a14="http://schemas.microsoft.com/office/drawing/2010/main" spid="_x0000_s5306"/>
            </a:ext>
            <a:ext uri="{FF2B5EF4-FFF2-40B4-BE49-F238E27FC236}">
              <a16:creationId xmlns:a16="http://schemas.microsoft.com/office/drawing/2014/main" id="{00000000-0008-0000-0200-000018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217" name="Check Box 187" hidden="1">
          <a:extLst>
            <a:ext uri="{63B3BB69-23CF-44E3-9099-C40C66FF867C}">
              <a14:compatExt xmlns:a14="http://schemas.microsoft.com/office/drawing/2010/main" spid="_x0000_s5307"/>
            </a:ext>
            <a:ext uri="{FF2B5EF4-FFF2-40B4-BE49-F238E27FC236}">
              <a16:creationId xmlns:a16="http://schemas.microsoft.com/office/drawing/2014/main" id="{00000000-0008-0000-0200-000019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18" name="Check Box 188" hidden="1">
          <a:extLst>
            <a:ext uri="{63B3BB69-23CF-44E3-9099-C40C66FF867C}">
              <a14:compatExt xmlns:a14="http://schemas.microsoft.com/office/drawing/2010/main" spid="_x0000_s5308"/>
            </a:ext>
            <a:ext uri="{FF2B5EF4-FFF2-40B4-BE49-F238E27FC236}">
              <a16:creationId xmlns:a16="http://schemas.microsoft.com/office/drawing/2014/main" id="{00000000-0008-0000-0200-00001A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19" name="Check Box 189" hidden="1">
          <a:extLst>
            <a:ext uri="{63B3BB69-23CF-44E3-9099-C40C66FF867C}">
              <a14:compatExt xmlns:a14="http://schemas.microsoft.com/office/drawing/2010/main" spid="_x0000_s5309"/>
            </a:ext>
            <a:ext uri="{FF2B5EF4-FFF2-40B4-BE49-F238E27FC236}">
              <a16:creationId xmlns:a16="http://schemas.microsoft.com/office/drawing/2014/main" id="{00000000-0008-0000-0200-00001B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20" name="Check Box 190" hidden="1">
          <a:extLst>
            <a:ext uri="{63B3BB69-23CF-44E3-9099-C40C66FF867C}">
              <a14:compatExt xmlns:a14="http://schemas.microsoft.com/office/drawing/2010/main" spid="_x0000_s5310"/>
            </a:ext>
            <a:ext uri="{FF2B5EF4-FFF2-40B4-BE49-F238E27FC236}">
              <a16:creationId xmlns:a16="http://schemas.microsoft.com/office/drawing/2014/main" id="{00000000-0008-0000-0200-00001C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21" name="Check Box 191" hidden="1">
          <a:extLst>
            <a:ext uri="{63B3BB69-23CF-44E3-9099-C40C66FF867C}">
              <a14:compatExt xmlns:a14="http://schemas.microsoft.com/office/drawing/2010/main" spid="_x0000_s5311"/>
            </a:ext>
            <a:ext uri="{FF2B5EF4-FFF2-40B4-BE49-F238E27FC236}">
              <a16:creationId xmlns:a16="http://schemas.microsoft.com/office/drawing/2014/main" id="{00000000-0008-0000-0200-00001D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22" name="Check Box 192" hidden="1">
          <a:extLst>
            <a:ext uri="{63B3BB69-23CF-44E3-9099-C40C66FF867C}">
              <a14:compatExt xmlns:a14="http://schemas.microsoft.com/office/drawing/2010/main" spid="_x0000_s5312"/>
            </a:ext>
            <a:ext uri="{FF2B5EF4-FFF2-40B4-BE49-F238E27FC236}">
              <a16:creationId xmlns:a16="http://schemas.microsoft.com/office/drawing/2014/main" id="{00000000-0008-0000-0200-00001E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223" name="Check Box 193" hidden="1">
          <a:extLst>
            <a:ext uri="{63B3BB69-23CF-44E3-9099-C40C66FF867C}">
              <a14:compatExt xmlns:a14="http://schemas.microsoft.com/office/drawing/2010/main" spid="_x0000_s5313"/>
            </a:ext>
            <a:ext uri="{FF2B5EF4-FFF2-40B4-BE49-F238E27FC236}">
              <a16:creationId xmlns:a16="http://schemas.microsoft.com/office/drawing/2014/main" id="{00000000-0008-0000-0200-00001F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24" name="Check Box 194" hidden="1">
          <a:extLst>
            <a:ext uri="{63B3BB69-23CF-44E3-9099-C40C66FF867C}">
              <a14:compatExt xmlns:a14="http://schemas.microsoft.com/office/drawing/2010/main" spid="_x0000_s5314"/>
            </a:ext>
            <a:ext uri="{FF2B5EF4-FFF2-40B4-BE49-F238E27FC236}">
              <a16:creationId xmlns:a16="http://schemas.microsoft.com/office/drawing/2014/main" id="{00000000-0008-0000-0200-000020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25" name="Check Box 195" hidden="1">
          <a:extLst>
            <a:ext uri="{63B3BB69-23CF-44E3-9099-C40C66FF867C}">
              <a14:compatExt xmlns:a14="http://schemas.microsoft.com/office/drawing/2010/main" spid="_x0000_s5315"/>
            </a:ext>
            <a:ext uri="{FF2B5EF4-FFF2-40B4-BE49-F238E27FC236}">
              <a16:creationId xmlns:a16="http://schemas.microsoft.com/office/drawing/2014/main" id="{00000000-0008-0000-0200-000021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26" name="Check Box 196" hidden="1">
          <a:extLst>
            <a:ext uri="{63B3BB69-23CF-44E3-9099-C40C66FF867C}">
              <a14:compatExt xmlns:a14="http://schemas.microsoft.com/office/drawing/2010/main" spid="_x0000_s5316"/>
            </a:ext>
            <a:ext uri="{FF2B5EF4-FFF2-40B4-BE49-F238E27FC236}">
              <a16:creationId xmlns:a16="http://schemas.microsoft.com/office/drawing/2014/main" id="{00000000-0008-0000-0200-000022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27" name="Check Box 197" hidden="1">
          <a:extLst>
            <a:ext uri="{63B3BB69-23CF-44E3-9099-C40C66FF867C}">
              <a14:compatExt xmlns:a14="http://schemas.microsoft.com/office/drawing/2010/main" spid="_x0000_s5317"/>
            </a:ext>
            <a:ext uri="{FF2B5EF4-FFF2-40B4-BE49-F238E27FC236}">
              <a16:creationId xmlns:a16="http://schemas.microsoft.com/office/drawing/2014/main" id="{00000000-0008-0000-0200-000023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342900"/>
    <xdr:sp macro="" textlink="">
      <xdr:nvSpPr>
        <xdr:cNvPr id="8228" name="Check Box 198" hidden="1">
          <a:extLst>
            <a:ext uri="{63B3BB69-23CF-44E3-9099-C40C66FF867C}">
              <a14:compatExt xmlns:a14="http://schemas.microsoft.com/office/drawing/2010/main" spid="_x0000_s5318"/>
            </a:ext>
            <a:ext uri="{FF2B5EF4-FFF2-40B4-BE49-F238E27FC236}">
              <a16:creationId xmlns:a16="http://schemas.microsoft.com/office/drawing/2014/main" id="{00000000-0008-0000-0200-000024200000}"/>
            </a:ext>
          </a:extLst>
        </xdr:cNvPr>
        <xdr:cNvSpPr/>
      </xdr:nvSpPr>
      <xdr:spPr bwMode="auto">
        <a:xfrm>
          <a:off x="13224510"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29" name="Check Box 199" hidden="1">
          <a:extLst>
            <a:ext uri="{63B3BB69-23CF-44E3-9099-C40C66FF867C}">
              <a14:compatExt xmlns:a14="http://schemas.microsoft.com/office/drawing/2010/main" spid="_x0000_s5319"/>
            </a:ext>
            <a:ext uri="{FF2B5EF4-FFF2-40B4-BE49-F238E27FC236}">
              <a16:creationId xmlns:a16="http://schemas.microsoft.com/office/drawing/2014/main" id="{00000000-0008-0000-0200-000025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30" name="Check Box 200" hidden="1">
          <a:extLst>
            <a:ext uri="{63B3BB69-23CF-44E3-9099-C40C66FF867C}">
              <a14:compatExt xmlns:a14="http://schemas.microsoft.com/office/drawing/2010/main" spid="_x0000_s5320"/>
            </a:ext>
            <a:ext uri="{FF2B5EF4-FFF2-40B4-BE49-F238E27FC236}">
              <a16:creationId xmlns:a16="http://schemas.microsoft.com/office/drawing/2014/main" id="{00000000-0008-0000-0200-000026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31" name="Check Box 201" hidden="1">
          <a:extLst>
            <a:ext uri="{63B3BB69-23CF-44E3-9099-C40C66FF867C}">
              <a14:compatExt xmlns:a14="http://schemas.microsoft.com/office/drawing/2010/main" spid="_x0000_s5321"/>
            </a:ext>
            <a:ext uri="{FF2B5EF4-FFF2-40B4-BE49-F238E27FC236}">
              <a16:creationId xmlns:a16="http://schemas.microsoft.com/office/drawing/2014/main" id="{00000000-0008-0000-0200-000027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32" name="Check Box 202" hidden="1">
          <a:extLst>
            <a:ext uri="{63B3BB69-23CF-44E3-9099-C40C66FF867C}">
              <a14:compatExt xmlns:a14="http://schemas.microsoft.com/office/drawing/2010/main" spid="_x0000_s5322"/>
            </a:ext>
            <a:ext uri="{FF2B5EF4-FFF2-40B4-BE49-F238E27FC236}">
              <a16:creationId xmlns:a16="http://schemas.microsoft.com/office/drawing/2014/main" id="{00000000-0008-0000-0200-000028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33" name="Check Box 203" hidden="1">
          <a:extLst>
            <a:ext uri="{63B3BB69-23CF-44E3-9099-C40C66FF867C}">
              <a14:compatExt xmlns:a14="http://schemas.microsoft.com/office/drawing/2010/main" spid="_x0000_s5323"/>
            </a:ext>
            <a:ext uri="{FF2B5EF4-FFF2-40B4-BE49-F238E27FC236}">
              <a16:creationId xmlns:a16="http://schemas.microsoft.com/office/drawing/2014/main" id="{00000000-0008-0000-0200-000029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234"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200-00002A2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35"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200-00002B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36"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200-00002C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37"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200-00002D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38"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200-00002E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39"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200-00002F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240"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200-000030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41"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200-000031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42"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200-000032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43"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200-000033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44"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200-000034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45"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200-000035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246"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200-000036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47"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200-000037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48"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200-000038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49"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200-000039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50"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200-00003A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51" name="Check Box 221" hidden="1">
          <a:extLst>
            <a:ext uri="{63B3BB69-23CF-44E3-9099-C40C66FF867C}">
              <a14:compatExt xmlns:a14="http://schemas.microsoft.com/office/drawing/2010/main" spid="_x0000_s5341"/>
            </a:ext>
            <a:ext uri="{FF2B5EF4-FFF2-40B4-BE49-F238E27FC236}">
              <a16:creationId xmlns:a16="http://schemas.microsoft.com/office/drawing/2014/main" id="{00000000-0008-0000-0200-00003B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52"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200-00003C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1383030"/>
    <xdr:sp macro="" textlink="">
      <xdr:nvSpPr>
        <xdr:cNvPr id="8253"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200-00003D200000}"/>
            </a:ext>
          </a:extLst>
        </xdr:cNvPr>
        <xdr:cNvSpPr/>
      </xdr:nvSpPr>
      <xdr:spPr bwMode="auto">
        <a:xfrm>
          <a:off x="13224510" y="41742360"/>
          <a:ext cx="333375"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83030"/>
    <xdr:sp macro="" textlink="">
      <xdr:nvSpPr>
        <xdr:cNvPr id="8254"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200-00003E200000}"/>
            </a:ext>
          </a:extLst>
        </xdr:cNvPr>
        <xdr:cNvSpPr/>
      </xdr:nvSpPr>
      <xdr:spPr bwMode="auto">
        <a:xfrm>
          <a:off x="13205460" y="41742360"/>
          <a:ext cx="342900"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16355"/>
    <xdr:sp macro="" textlink="">
      <xdr:nvSpPr>
        <xdr:cNvPr id="8255"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200-00003F200000}"/>
            </a:ext>
          </a:extLst>
        </xdr:cNvPr>
        <xdr:cNvSpPr/>
      </xdr:nvSpPr>
      <xdr:spPr bwMode="auto">
        <a:xfrm>
          <a:off x="13205460" y="41742360"/>
          <a:ext cx="342900" cy="13163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25880"/>
    <xdr:sp macro="" textlink="">
      <xdr:nvSpPr>
        <xdr:cNvPr id="8256"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200-000040200000}"/>
            </a:ext>
          </a:extLst>
        </xdr:cNvPr>
        <xdr:cNvSpPr/>
      </xdr:nvSpPr>
      <xdr:spPr bwMode="auto">
        <a:xfrm>
          <a:off x="13205460" y="41742360"/>
          <a:ext cx="342900" cy="1325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44930"/>
    <xdr:sp macro="" textlink="">
      <xdr:nvSpPr>
        <xdr:cNvPr id="8257"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200-000041200000}"/>
            </a:ext>
          </a:extLst>
        </xdr:cNvPr>
        <xdr:cNvSpPr/>
      </xdr:nvSpPr>
      <xdr:spPr bwMode="auto">
        <a:xfrm>
          <a:off x="13205460" y="41742360"/>
          <a:ext cx="342900" cy="13449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2247900"/>
    <xdr:sp macro="" textlink="">
      <xdr:nvSpPr>
        <xdr:cNvPr id="8258" name="Check Box 228" hidden="1">
          <a:extLst>
            <a:ext uri="{63B3BB69-23CF-44E3-9099-C40C66FF867C}">
              <a14:compatExt xmlns:a14="http://schemas.microsoft.com/office/drawing/2010/main" spid="_x0000_s5348"/>
            </a:ext>
            <a:ext uri="{FF2B5EF4-FFF2-40B4-BE49-F238E27FC236}">
              <a16:creationId xmlns:a16="http://schemas.microsoft.com/office/drawing/2014/main" id="{00000000-0008-0000-0200-000042200000}"/>
            </a:ext>
          </a:extLst>
        </xdr:cNvPr>
        <xdr:cNvSpPr/>
      </xdr:nvSpPr>
      <xdr:spPr bwMode="auto">
        <a:xfrm>
          <a:off x="13205460" y="41742360"/>
          <a:ext cx="342900" cy="2247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1611630"/>
    <xdr:sp macro="" textlink="">
      <xdr:nvSpPr>
        <xdr:cNvPr id="8259"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200-000043200000}"/>
            </a:ext>
          </a:extLst>
        </xdr:cNvPr>
        <xdr:cNvSpPr/>
      </xdr:nvSpPr>
      <xdr:spPr bwMode="auto">
        <a:xfrm>
          <a:off x="13214985" y="41742360"/>
          <a:ext cx="333375" cy="1611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602105"/>
    <xdr:sp macro="" textlink="">
      <xdr:nvSpPr>
        <xdr:cNvPr id="8260"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200-000044200000}"/>
            </a:ext>
          </a:extLst>
        </xdr:cNvPr>
        <xdr:cNvSpPr/>
      </xdr:nvSpPr>
      <xdr:spPr bwMode="auto">
        <a:xfrm>
          <a:off x="13205460" y="41742360"/>
          <a:ext cx="342900" cy="16021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44955"/>
    <xdr:sp macro="" textlink="">
      <xdr:nvSpPr>
        <xdr:cNvPr id="8261"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200-000045200000}"/>
            </a:ext>
          </a:extLst>
        </xdr:cNvPr>
        <xdr:cNvSpPr/>
      </xdr:nvSpPr>
      <xdr:spPr bwMode="auto">
        <a:xfrm>
          <a:off x="13205460" y="4174236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44955"/>
    <xdr:sp macro="" textlink="">
      <xdr:nvSpPr>
        <xdr:cNvPr id="8262"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200-000046200000}"/>
            </a:ext>
          </a:extLst>
        </xdr:cNvPr>
        <xdr:cNvSpPr/>
      </xdr:nvSpPr>
      <xdr:spPr bwMode="auto">
        <a:xfrm>
          <a:off x="13205460" y="4174236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44955"/>
    <xdr:sp macro="" textlink="">
      <xdr:nvSpPr>
        <xdr:cNvPr id="8263"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200-000047200000}"/>
            </a:ext>
          </a:extLst>
        </xdr:cNvPr>
        <xdr:cNvSpPr/>
      </xdr:nvSpPr>
      <xdr:spPr bwMode="auto">
        <a:xfrm>
          <a:off x="13205460" y="4174236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2472690"/>
    <xdr:sp macro="" textlink="">
      <xdr:nvSpPr>
        <xdr:cNvPr id="8264" name="Check Box 234" hidden="1">
          <a:extLst>
            <a:ext uri="{63B3BB69-23CF-44E3-9099-C40C66FF867C}">
              <a14:compatExt xmlns:a14="http://schemas.microsoft.com/office/drawing/2010/main" spid="_x0000_s5354"/>
            </a:ext>
            <a:ext uri="{FF2B5EF4-FFF2-40B4-BE49-F238E27FC236}">
              <a16:creationId xmlns:a16="http://schemas.microsoft.com/office/drawing/2014/main" id="{00000000-0008-0000-0200-000048200000}"/>
            </a:ext>
          </a:extLst>
        </xdr:cNvPr>
        <xdr:cNvSpPr/>
      </xdr:nvSpPr>
      <xdr:spPr bwMode="auto">
        <a:xfrm>
          <a:off x="13205460" y="41742360"/>
          <a:ext cx="342900" cy="24726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1535430"/>
    <xdr:sp macro="" textlink="">
      <xdr:nvSpPr>
        <xdr:cNvPr id="8265" name="Check Box 235" hidden="1">
          <a:extLst>
            <a:ext uri="{63B3BB69-23CF-44E3-9099-C40C66FF867C}">
              <a14:compatExt xmlns:a14="http://schemas.microsoft.com/office/drawing/2010/main" spid="_x0000_s5355"/>
            </a:ext>
            <a:ext uri="{FF2B5EF4-FFF2-40B4-BE49-F238E27FC236}">
              <a16:creationId xmlns:a16="http://schemas.microsoft.com/office/drawing/2014/main" id="{00000000-0008-0000-0200-000049200000}"/>
            </a:ext>
          </a:extLst>
        </xdr:cNvPr>
        <xdr:cNvSpPr/>
      </xdr:nvSpPr>
      <xdr:spPr bwMode="auto">
        <a:xfrm>
          <a:off x="13176885" y="41742360"/>
          <a:ext cx="333375" cy="15354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1525905"/>
    <xdr:sp macro="" textlink="">
      <xdr:nvSpPr>
        <xdr:cNvPr id="8266" name="Check Box 236" hidden="1">
          <a:extLst>
            <a:ext uri="{63B3BB69-23CF-44E3-9099-C40C66FF867C}">
              <a14:compatExt xmlns:a14="http://schemas.microsoft.com/office/drawing/2010/main" spid="_x0000_s5356"/>
            </a:ext>
            <a:ext uri="{FF2B5EF4-FFF2-40B4-BE49-F238E27FC236}">
              <a16:creationId xmlns:a16="http://schemas.microsoft.com/office/drawing/2014/main" id="{00000000-0008-0000-0200-00004A200000}"/>
            </a:ext>
          </a:extLst>
        </xdr:cNvPr>
        <xdr:cNvSpPr/>
      </xdr:nvSpPr>
      <xdr:spPr bwMode="auto">
        <a:xfrm>
          <a:off x="13167360" y="41742360"/>
          <a:ext cx="342900" cy="15259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1478280"/>
    <xdr:sp macro="" textlink="">
      <xdr:nvSpPr>
        <xdr:cNvPr id="8267" name="Check Box 237" hidden="1">
          <a:extLst>
            <a:ext uri="{63B3BB69-23CF-44E3-9099-C40C66FF867C}">
              <a14:compatExt xmlns:a14="http://schemas.microsoft.com/office/drawing/2010/main" spid="_x0000_s5357"/>
            </a:ext>
            <a:ext uri="{FF2B5EF4-FFF2-40B4-BE49-F238E27FC236}">
              <a16:creationId xmlns:a16="http://schemas.microsoft.com/office/drawing/2014/main" id="{00000000-0008-0000-0200-00004B200000}"/>
            </a:ext>
          </a:extLst>
        </xdr:cNvPr>
        <xdr:cNvSpPr/>
      </xdr:nvSpPr>
      <xdr:spPr bwMode="auto">
        <a:xfrm>
          <a:off x="13167360" y="41742360"/>
          <a:ext cx="342900" cy="14782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1468755"/>
    <xdr:sp macro="" textlink="">
      <xdr:nvSpPr>
        <xdr:cNvPr id="8268" name="Check Box 238" hidden="1">
          <a:extLst>
            <a:ext uri="{63B3BB69-23CF-44E3-9099-C40C66FF867C}">
              <a14:compatExt xmlns:a14="http://schemas.microsoft.com/office/drawing/2010/main" spid="_x0000_s5358"/>
            </a:ext>
            <a:ext uri="{FF2B5EF4-FFF2-40B4-BE49-F238E27FC236}">
              <a16:creationId xmlns:a16="http://schemas.microsoft.com/office/drawing/2014/main" id="{00000000-0008-0000-0200-00004C200000}"/>
            </a:ext>
          </a:extLst>
        </xdr:cNvPr>
        <xdr:cNvSpPr/>
      </xdr:nvSpPr>
      <xdr:spPr bwMode="auto">
        <a:xfrm>
          <a:off x="13167360" y="4174236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1468755"/>
    <xdr:sp macro="" textlink="">
      <xdr:nvSpPr>
        <xdr:cNvPr id="8269" name="Check Box 239" hidden="1">
          <a:extLst>
            <a:ext uri="{63B3BB69-23CF-44E3-9099-C40C66FF867C}">
              <a14:compatExt xmlns:a14="http://schemas.microsoft.com/office/drawing/2010/main" spid="_x0000_s5359"/>
            </a:ext>
            <a:ext uri="{FF2B5EF4-FFF2-40B4-BE49-F238E27FC236}">
              <a16:creationId xmlns:a16="http://schemas.microsoft.com/office/drawing/2014/main" id="{00000000-0008-0000-0200-00004D200000}"/>
            </a:ext>
          </a:extLst>
        </xdr:cNvPr>
        <xdr:cNvSpPr/>
      </xdr:nvSpPr>
      <xdr:spPr bwMode="auto">
        <a:xfrm>
          <a:off x="13167360" y="4174236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270"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200-00004E2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71"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200-00004F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72"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200-000050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73"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200-000051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74"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200-000052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75"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200-000053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276"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200-0000542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77"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200-000055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78"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200-000056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79"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200-000057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80"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200-000058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81"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200-000059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282"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200-00005A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83"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200-00005B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84"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200-00005C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85"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200-00005D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86"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200-00005E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87"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200-00005F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288"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200-000060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89"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200-000061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90"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200-000062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91"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200-000063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92"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200-000064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293"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200-000065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294"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200-0000662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95"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200-000067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96"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200-000068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97"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200-000069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98"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200-00006A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299"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200-00006B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300"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200-00006C2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01"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200-00006D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02"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200-00006E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03"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200-00006F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04"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200-000070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05"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200-000071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306"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200-000072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07"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200-000073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08"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200-000074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09"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200-000075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10"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200-000076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11"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200-000077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312"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200-000078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13"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200-000079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14"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200-00007A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15"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200-00007B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16"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200-00007C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17"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200-00007D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318"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200-00007E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19"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200-00007F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20"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200-000080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21"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200-000081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22"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200-000082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23"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200-000083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324"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200-000084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25"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200-000085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26"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200-000086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27"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200-000087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28"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200-000088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29"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200-000089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330"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200-00008A2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31"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200-00008B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32"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200-00008C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33"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200-00008D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34"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200-00008E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35"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200-00008F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336"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200-0000902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37"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200-000091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38"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200-000092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39"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200-000093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40"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200-000094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41"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200-000095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1390650"/>
    <xdr:sp macro="" textlink="">
      <xdr:nvSpPr>
        <xdr:cNvPr id="8342"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200-000096200000}"/>
            </a:ext>
          </a:extLst>
        </xdr:cNvPr>
        <xdr:cNvSpPr/>
      </xdr:nvSpPr>
      <xdr:spPr bwMode="auto">
        <a:xfrm>
          <a:off x="13224510" y="4174236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90650"/>
    <xdr:sp macro="" textlink="">
      <xdr:nvSpPr>
        <xdr:cNvPr id="8343"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200-000097200000}"/>
            </a:ext>
          </a:extLst>
        </xdr:cNvPr>
        <xdr:cNvSpPr/>
      </xdr:nvSpPr>
      <xdr:spPr bwMode="auto">
        <a:xfrm>
          <a:off x="13205460" y="4174236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23975"/>
    <xdr:sp macro="" textlink="">
      <xdr:nvSpPr>
        <xdr:cNvPr id="8344"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200-000098200000}"/>
            </a:ext>
          </a:extLst>
        </xdr:cNvPr>
        <xdr:cNvSpPr/>
      </xdr:nvSpPr>
      <xdr:spPr bwMode="auto">
        <a:xfrm>
          <a:off x="13205460" y="4174236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33500"/>
    <xdr:sp macro="" textlink="">
      <xdr:nvSpPr>
        <xdr:cNvPr id="8345"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200-000099200000}"/>
            </a:ext>
          </a:extLst>
        </xdr:cNvPr>
        <xdr:cNvSpPr/>
      </xdr:nvSpPr>
      <xdr:spPr bwMode="auto">
        <a:xfrm>
          <a:off x="13205460" y="4174236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52550"/>
    <xdr:sp macro="" textlink="">
      <xdr:nvSpPr>
        <xdr:cNvPr id="8346"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200-00009A200000}"/>
            </a:ext>
          </a:extLst>
        </xdr:cNvPr>
        <xdr:cNvSpPr/>
      </xdr:nvSpPr>
      <xdr:spPr bwMode="auto">
        <a:xfrm>
          <a:off x="13205460" y="4174236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347"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200-00009B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48"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200-00009C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49"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200-00009D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50"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200-00009E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51"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200-00009F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52"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200-0000A0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353"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200-0000A1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54"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200-0000A2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55"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200-0000A3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56"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200-0000A4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57"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200-0000A5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58"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200-0000A6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359"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200-0000A7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60"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200-0000A8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61"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200-0000A9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62"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200-0000AA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63"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200-0000AB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64"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200-0000AC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365"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200-0000AD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66"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200-0000AE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67"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200-0000AF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68"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200-0000B0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69"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200-0000B1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70"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200-0000B2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371"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200-0000B32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72"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200-0000B4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73"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200-0000B5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74"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200-0000B6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75"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200-0000B7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76"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200-0000B8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377"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200-0000B92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78"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200-0000BA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79"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200-0000BB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80"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200-0000BC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81"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200-0000BD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382"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200-0000BE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1619250"/>
    <xdr:sp macro="" textlink="">
      <xdr:nvSpPr>
        <xdr:cNvPr id="8383"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200-0000BF200000}"/>
            </a:ext>
          </a:extLst>
        </xdr:cNvPr>
        <xdr:cNvSpPr/>
      </xdr:nvSpPr>
      <xdr:spPr bwMode="auto">
        <a:xfrm>
          <a:off x="13214985" y="41742360"/>
          <a:ext cx="333375" cy="1619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609725"/>
    <xdr:sp macro="" textlink="">
      <xdr:nvSpPr>
        <xdr:cNvPr id="8384"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200-0000C0200000}"/>
            </a:ext>
          </a:extLst>
        </xdr:cNvPr>
        <xdr:cNvSpPr/>
      </xdr:nvSpPr>
      <xdr:spPr bwMode="auto">
        <a:xfrm>
          <a:off x="13205460" y="41742360"/>
          <a:ext cx="342900" cy="16097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52575"/>
    <xdr:sp macro="" textlink="">
      <xdr:nvSpPr>
        <xdr:cNvPr id="8385"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200-0000C1200000}"/>
            </a:ext>
          </a:extLst>
        </xdr:cNvPr>
        <xdr:cNvSpPr/>
      </xdr:nvSpPr>
      <xdr:spPr bwMode="auto">
        <a:xfrm>
          <a:off x="13205460" y="4174236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52575"/>
    <xdr:sp macro="" textlink="">
      <xdr:nvSpPr>
        <xdr:cNvPr id="8386"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200-0000C2200000}"/>
            </a:ext>
          </a:extLst>
        </xdr:cNvPr>
        <xdr:cNvSpPr/>
      </xdr:nvSpPr>
      <xdr:spPr bwMode="auto">
        <a:xfrm>
          <a:off x="13205460" y="4174236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52575"/>
    <xdr:sp macro="" textlink="">
      <xdr:nvSpPr>
        <xdr:cNvPr id="8387"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200-0000C3200000}"/>
            </a:ext>
          </a:extLst>
        </xdr:cNvPr>
        <xdr:cNvSpPr/>
      </xdr:nvSpPr>
      <xdr:spPr bwMode="auto">
        <a:xfrm>
          <a:off x="13205460" y="4174236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1390650"/>
    <xdr:sp macro="" textlink="">
      <xdr:nvSpPr>
        <xdr:cNvPr id="8388"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200-0000C4200000}"/>
            </a:ext>
          </a:extLst>
        </xdr:cNvPr>
        <xdr:cNvSpPr/>
      </xdr:nvSpPr>
      <xdr:spPr bwMode="auto">
        <a:xfrm>
          <a:off x="13224510" y="4174236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90650"/>
    <xdr:sp macro="" textlink="">
      <xdr:nvSpPr>
        <xdr:cNvPr id="8389"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200-0000C5200000}"/>
            </a:ext>
          </a:extLst>
        </xdr:cNvPr>
        <xdr:cNvSpPr/>
      </xdr:nvSpPr>
      <xdr:spPr bwMode="auto">
        <a:xfrm>
          <a:off x="13205460" y="4174236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23975"/>
    <xdr:sp macro="" textlink="">
      <xdr:nvSpPr>
        <xdr:cNvPr id="8390"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200-0000C6200000}"/>
            </a:ext>
          </a:extLst>
        </xdr:cNvPr>
        <xdr:cNvSpPr/>
      </xdr:nvSpPr>
      <xdr:spPr bwMode="auto">
        <a:xfrm>
          <a:off x="13205460" y="4174236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33500"/>
    <xdr:sp macro="" textlink="">
      <xdr:nvSpPr>
        <xdr:cNvPr id="8391"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200-0000C7200000}"/>
            </a:ext>
          </a:extLst>
        </xdr:cNvPr>
        <xdr:cNvSpPr/>
      </xdr:nvSpPr>
      <xdr:spPr bwMode="auto">
        <a:xfrm>
          <a:off x="13205460" y="4174236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52550"/>
    <xdr:sp macro="" textlink="">
      <xdr:nvSpPr>
        <xdr:cNvPr id="8392"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200-0000C8200000}"/>
            </a:ext>
          </a:extLst>
        </xdr:cNvPr>
        <xdr:cNvSpPr/>
      </xdr:nvSpPr>
      <xdr:spPr bwMode="auto">
        <a:xfrm>
          <a:off x="13205460" y="4174236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393"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200-0000C9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94"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200-0000CA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95"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200-0000CB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96"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200-0000CC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97"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200-0000CD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398"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200-0000CE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399"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200-0000CF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00"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200-0000D0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01"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200-0000D1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02"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200-0000D2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03"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200-0000D3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04"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200-0000D4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405"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200-0000D5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06"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200-0000D6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07"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200-0000D7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08"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200-0000D8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09"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200-0000D9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10"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200-0000DA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411"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200-0000DB20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12"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200-0000DC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13"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200-0000DD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14"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200-0000DE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15"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200-0000DF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16"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200-0000E020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417"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200-0000E12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18"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200-0000E2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19"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200-0000E3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20"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200-0000E4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21"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200-0000E5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22"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200-0000E6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423"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200-0000E720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24"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200-0000E8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25"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200-0000E9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26"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200-0000EA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27"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200-0000EB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28"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200-0000EC20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342900"/>
    <xdr:sp macro="" textlink="">
      <xdr:nvSpPr>
        <xdr:cNvPr id="8433"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200-0000F1200000}"/>
            </a:ext>
          </a:extLst>
        </xdr:cNvPr>
        <xdr:cNvSpPr/>
      </xdr:nvSpPr>
      <xdr:spPr bwMode="auto">
        <a:xfrm>
          <a:off x="13224510" y="239877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34"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200-0000F2200000}"/>
            </a:ext>
          </a:extLst>
        </xdr:cNvPr>
        <xdr:cNvSpPr/>
      </xdr:nvSpPr>
      <xdr:spPr bwMode="auto">
        <a:xfrm>
          <a:off x="13205460" y="241687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35"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200-0000F3200000}"/>
            </a:ext>
          </a:extLst>
        </xdr:cNvPr>
        <xdr:cNvSpPr/>
      </xdr:nvSpPr>
      <xdr:spPr bwMode="auto">
        <a:xfrm>
          <a:off x="13205460" y="254774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36"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200-0000F4200000}"/>
            </a:ext>
          </a:extLst>
        </xdr:cNvPr>
        <xdr:cNvSpPr/>
      </xdr:nvSpPr>
      <xdr:spPr bwMode="auto">
        <a:xfrm>
          <a:off x="13205460" y="2671000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37"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200-0000F5200000}"/>
            </a:ext>
          </a:extLst>
        </xdr:cNvPr>
        <xdr:cNvSpPr/>
      </xdr:nvSpPr>
      <xdr:spPr bwMode="auto">
        <a:xfrm>
          <a:off x="13205460" y="2793301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3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F6200000}"/>
            </a:ext>
          </a:extLst>
        </xdr:cNvPr>
        <xdr:cNvSpPr/>
      </xdr:nvSpPr>
      <xdr:spPr bwMode="auto">
        <a:xfrm>
          <a:off x="13205460" y="289560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28</xdr:row>
          <xdr:rowOff>419100</xdr:rowOff>
        </xdr:from>
        <xdr:to>
          <xdr:col>6</xdr:col>
          <xdr:colOff>1019175</xdr:colOff>
          <xdr:row>28</xdr:row>
          <xdr:rowOff>762000</xdr:rowOff>
        </xdr:to>
        <xdr:sp macro="" textlink="">
          <xdr:nvSpPr>
            <xdr:cNvPr id="5" name="Check Box 13" hidden="1">
              <a:extLst>
                <a:ext uri="{63B3BB69-23CF-44E3-9099-C40C66FF867C}">
                  <a14:compatExt spid="_x0000_s8205"/>
                </a:ext>
                <a:ext uri="{FF2B5EF4-FFF2-40B4-BE49-F238E27FC236}">
                  <a16:creationId xmlns:a16="http://schemas.microsoft.com/office/drawing/2014/main" id="{00000000-0008-0000-02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29</xdr:row>
          <xdr:rowOff>485775</xdr:rowOff>
        </xdr:from>
        <xdr:to>
          <xdr:col>6</xdr:col>
          <xdr:colOff>1019175</xdr:colOff>
          <xdr:row>29</xdr:row>
          <xdr:rowOff>828675</xdr:rowOff>
        </xdr:to>
        <xdr:sp macro="" textlink="">
          <xdr:nvSpPr>
            <xdr:cNvPr id="8515" name="Check Box 14" hidden="1">
              <a:extLst>
                <a:ext uri="{63B3BB69-23CF-44E3-9099-C40C66FF867C}">
                  <a14:compatExt spid="_x0000_s8206"/>
                </a:ext>
                <a:ext uri="{FF2B5EF4-FFF2-40B4-BE49-F238E27FC236}">
                  <a16:creationId xmlns:a16="http://schemas.microsoft.com/office/drawing/2014/main" id="{00000000-0008-0000-0200-000043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30</xdr:row>
          <xdr:rowOff>485775</xdr:rowOff>
        </xdr:from>
        <xdr:to>
          <xdr:col>6</xdr:col>
          <xdr:colOff>1019175</xdr:colOff>
          <xdr:row>30</xdr:row>
          <xdr:rowOff>828675</xdr:rowOff>
        </xdr:to>
        <xdr:sp macro="" textlink="">
          <xdr:nvSpPr>
            <xdr:cNvPr id="8516" name="Check Box 15" hidden="1">
              <a:extLst>
                <a:ext uri="{63B3BB69-23CF-44E3-9099-C40C66FF867C}">
                  <a14:compatExt spid="_x0000_s8207"/>
                </a:ext>
                <a:ext uri="{FF2B5EF4-FFF2-40B4-BE49-F238E27FC236}">
                  <a16:creationId xmlns:a16="http://schemas.microsoft.com/office/drawing/2014/main" id="{00000000-0008-0000-0200-000044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31</xdr:row>
          <xdr:rowOff>457200</xdr:rowOff>
        </xdr:from>
        <xdr:to>
          <xdr:col>6</xdr:col>
          <xdr:colOff>1019175</xdr:colOff>
          <xdr:row>31</xdr:row>
          <xdr:rowOff>809625</xdr:rowOff>
        </xdr:to>
        <xdr:sp macro="" textlink="">
          <xdr:nvSpPr>
            <xdr:cNvPr id="8517" name="Check Box 16" hidden="1">
              <a:extLst>
                <a:ext uri="{63B3BB69-23CF-44E3-9099-C40C66FF867C}">
                  <a14:compatExt spid="_x0000_s8208"/>
                </a:ext>
                <a:ext uri="{FF2B5EF4-FFF2-40B4-BE49-F238E27FC236}">
                  <a16:creationId xmlns:a16="http://schemas.microsoft.com/office/drawing/2014/main" id="{00000000-0008-0000-0200-000045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28</xdr:row>
      <xdr:rowOff>0</xdr:rowOff>
    </xdr:from>
    <xdr:ext cx="333375" cy="342900"/>
    <xdr:sp macro="" textlink="">
      <xdr:nvSpPr>
        <xdr:cNvPr id="8443"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200-0000FB200000}"/>
            </a:ext>
          </a:extLst>
        </xdr:cNvPr>
        <xdr:cNvSpPr/>
      </xdr:nvSpPr>
      <xdr:spPr bwMode="auto">
        <a:xfrm>
          <a:off x="13224510" y="1789938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28</xdr:row>
      <xdr:rowOff>180975</xdr:rowOff>
    </xdr:from>
    <xdr:ext cx="342900" cy="342900"/>
    <xdr:sp macro="" textlink="">
      <xdr:nvSpPr>
        <xdr:cNvPr id="8444"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200-0000FC200000}"/>
            </a:ext>
          </a:extLst>
        </xdr:cNvPr>
        <xdr:cNvSpPr/>
      </xdr:nvSpPr>
      <xdr:spPr bwMode="auto">
        <a:xfrm>
          <a:off x="13205460" y="1808035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29</xdr:row>
      <xdr:rowOff>247650</xdr:rowOff>
    </xdr:from>
    <xdr:ext cx="342900" cy="342900"/>
    <xdr:sp macro="" textlink="">
      <xdr:nvSpPr>
        <xdr:cNvPr id="8445"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200-0000FD200000}"/>
            </a:ext>
          </a:extLst>
        </xdr:cNvPr>
        <xdr:cNvSpPr/>
      </xdr:nvSpPr>
      <xdr:spPr bwMode="auto">
        <a:xfrm>
          <a:off x="13205460" y="193890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30</xdr:row>
      <xdr:rowOff>238125</xdr:rowOff>
    </xdr:from>
    <xdr:ext cx="342900" cy="342900"/>
    <xdr:sp macro="" textlink="">
      <xdr:nvSpPr>
        <xdr:cNvPr id="8446"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200-0000FE200000}"/>
            </a:ext>
          </a:extLst>
        </xdr:cNvPr>
        <xdr:cNvSpPr/>
      </xdr:nvSpPr>
      <xdr:spPr bwMode="auto">
        <a:xfrm>
          <a:off x="13205460" y="2062162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31</xdr:row>
      <xdr:rowOff>219075</xdr:rowOff>
    </xdr:from>
    <xdr:ext cx="342900" cy="342900"/>
    <xdr:sp macro="" textlink="">
      <xdr:nvSpPr>
        <xdr:cNvPr id="8447"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200-0000FF200000}"/>
            </a:ext>
          </a:extLst>
        </xdr:cNvPr>
        <xdr:cNvSpPr/>
      </xdr:nvSpPr>
      <xdr:spPr bwMode="auto">
        <a:xfrm>
          <a:off x="13205460" y="218446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4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00210000}"/>
            </a:ext>
          </a:extLst>
        </xdr:cNvPr>
        <xdr:cNvSpPr/>
      </xdr:nvSpPr>
      <xdr:spPr bwMode="auto">
        <a:xfrm>
          <a:off x="13205460" y="228676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22</xdr:row>
          <xdr:rowOff>333375</xdr:rowOff>
        </xdr:from>
        <xdr:to>
          <xdr:col>6</xdr:col>
          <xdr:colOff>1019175</xdr:colOff>
          <xdr:row>22</xdr:row>
          <xdr:rowOff>676275</xdr:rowOff>
        </xdr:to>
        <xdr:sp macro="" textlink="">
          <xdr:nvSpPr>
            <xdr:cNvPr id="8518" name="Check Box 17" hidden="1">
              <a:extLst>
                <a:ext uri="{63B3BB69-23CF-44E3-9099-C40C66FF867C}">
                  <a14:compatExt spid="_x0000_s8209"/>
                </a:ext>
                <a:ext uri="{FF2B5EF4-FFF2-40B4-BE49-F238E27FC236}">
                  <a16:creationId xmlns:a16="http://schemas.microsoft.com/office/drawing/2014/main" id="{00000000-0008-0000-0200-000046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23</xdr:row>
          <xdr:rowOff>409575</xdr:rowOff>
        </xdr:from>
        <xdr:to>
          <xdr:col>6</xdr:col>
          <xdr:colOff>1019175</xdr:colOff>
          <xdr:row>23</xdr:row>
          <xdr:rowOff>752475</xdr:rowOff>
        </xdr:to>
        <xdr:sp macro="" textlink="">
          <xdr:nvSpPr>
            <xdr:cNvPr id="8519" name="Check Box 18" hidden="1">
              <a:extLst>
                <a:ext uri="{63B3BB69-23CF-44E3-9099-C40C66FF867C}">
                  <a14:compatExt spid="_x0000_s8210"/>
                </a:ext>
                <a:ext uri="{FF2B5EF4-FFF2-40B4-BE49-F238E27FC236}">
                  <a16:creationId xmlns:a16="http://schemas.microsoft.com/office/drawing/2014/main" id="{00000000-0008-0000-0200-000047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24</xdr:row>
          <xdr:rowOff>390525</xdr:rowOff>
        </xdr:from>
        <xdr:to>
          <xdr:col>6</xdr:col>
          <xdr:colOff>1019175</xdr:colOff>
          <xdr:row>24</xdr:row>
          <xdr:rowOff>733425</xdr:rowOff>
        </xdr:to>
        <xdr:sp macro="" textlink="">
          <xdr:nvSpPr>
            <xdr:cNvPr id="8520" name="Check Box 19" hidden="1">
              <a:extLst>
                <a:ext uri="{63B3BB69-23CF-44E3-9099-C40C66FF867C}">
                  <a14:compatExt spid="_x0000_s8211"/>
                </a:ext>
                <a:ext uri="{FF2B5EF4-FFF2-40B4-BE49-F238E27FC236}">
                  <a16:creationId xmlns:a16="http://schemas.microsoft.com/office/drawing/2014/main" id="{00000000-0008-0000-0200-000048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25</xdr:row>
          <xdr:rowOff>371475</xdr:rowOff>
        </xdr:from>
        <xdr:to>
          <xdr:col>6</xdr:col>
          <xdr:colOff>1019175</xdr:colOff>
          <xdr:row>25</xdr:row>
          <xdr:rowOff>714375</xdr:rowOff>
        </xdr:to>
        <xdr:sp macro="" textlink="">
          <xdr:nvSpPr>
            <xdr:cNvPr id="8521" name="Check Box 20" hidden="1">
              <a:extLst>
                <a:ext uri="{63B3BB69-23CF-44E3-9099-C40C66FF867C}">
                  <a14:compatExt spid="_x0000_s8212"/>
                </a:ext>
                <a:ext uri="{FF2B5EF4-FFF2-40B4-BE49-F238E27FC236}">
                  <a16:creationId xmlns:a16="http://schemas.microsoft.com/office/drawing/2014/main" id="{00000000-0008-0000-0200-000049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22</xdr:row>
      <xdr:rowOff>0</xdr:rowOff>
    </xdr:from>
    <xdr:ext cx="333375" cy="342900"/>
    <xdr:sp macro="" textlink="">
      <xdr:nvSpPr>
        <xdr:cNvPr id="8453"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200-000005210000}"/>
            </a:ext>
          </a:extLst>
        </xdr:cNvPr>
        <xdr:cNvSpPr/>
      </xdr:nvSpPr>
      <xdr:spPr bwMode="auto">
        <a:xfrm>
          <a:off x="13224510" y="117043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22</xdr:row>
      <xdr:rowOff>180975</xdr:rowOff>
    </xdr:from>
    <xdr:ext cx="342900" cy="342900"/>
    <xdr:sp macro="" textlink="">
      <xdr:nvSpPr>
        <xdr:cNvPr id="8454"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200-000006210000}"/>
            </a:ext>
          </a:extLst>
        </xdr:cNvPr>
        <xdr:cNvSpPr/>
      </xdr:nvSpPr>
      <xdr:spPr bwMode="auto">
        <a:xfrm>
          <a:off x="13205460" y="1188529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23</xdr:row>
      <xdr:rowOff>247650</xdr:rowOff>
    </xdr:from>
    <xdr:ext cx="342900" cy="342900"/>
    <xdr:sp macro="" textlink="">
      <xdr:nvSpPr>
        <xdr:cNvPr id="8455"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200-000007210000}"/>
            </a:ext>
          </a:extLst>
        </xdr:cNvPr>
        <xdr:cNvSpPr/>
      </xdr:nvSpPr>
      <xdr:spPr bwMode="auto">
        <a:xfrm>
          <a:off x="13205460" y="131940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24</xdr:row>
      <xdr:rowOff>238125</xdr:rowOff>
    </xdr:from>
    <xdr:ext cx="342900" cy="342900"/>
    <xdr:sp macro="" textlink="">
      <xdr:nvSpPr>
        <xdr:cNvPr id="8456"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200-000008210000}"/>
            </a:ext>
          </a:extLst>
        </xdr:cNvPr>
        <xdr:cNvSpPr/>
      </xdr:nvSpPr>
      <xdr:spPr bwMode="auto">
        <a:xfrm>
          <a:off x="13205460" y="1442656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25</xdr:row>
      <xdr:rowOff>219075</xdr:rowOff>
    </xdr:from>
    <xdr:ext cx="342900" cy="342900"/>
    <xdr:sp macro="" textlink="">
      <xdr:nvSpPr>
        <xdr:cNvPr id="8457"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200-000009210000}"/>
            </a:ext>
          </a:extLst>
        </xdr:cNvPr>
        <xdr:cNvSpPr/>
      </xdr:nvSpPr>
      <xdr:spPr bwMode="auto">
        <a:xfrm>
          <a:off x="13205460" y="1564957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845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0A210000}"/>
            </a:ext>
          </a:extLst>
        </xdr:cNvPr>
        <xdr:cNvSpPr/>
      </xdr:nvSpPr>
      <xdr:spPr bwMode="auto">
        <a:xfrm>
          <a:off x="13205460" y="166725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459"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200-00000B210000}"/>
            </a:ext>
          </a:extLst>
        </xdr:cNvPr>
        <xdr:cNvSpPr/>
      </xdr:nvSpPr>
      <xdr:spPr bwMode="auto">
        <a:xfrm>
          <a:off x="132149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60"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200-00000C21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61"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200-00000D21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62"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200-00000E21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63"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200-00000F21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64"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200-00001021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8469"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200-000015210000}"/>
            </a:ext>
          </a:extLst>
        </xdr:cNvPr>
        <xdr:cNvSpPr/>
      </xdr:nvSpPr>
      <xdr:spPr bwMode="auto">
        <a:xfrm>
          <a:off x="13214985" y="367741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70"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200-000016210000}"/>
            </a:ext>
          </a:extLst>
        </xdr:cNvPr>
        <xdr:cNvSpPr/>
      </xdr:nvSpPr>
      <xdr:spPr bwMode="auto">
        <a:xfrm>
          <a:off x="13205460" y="369646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71"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200-000017210000}"/>
            </a:ext>
          </a:extLst>
        </xdr:cNvPr>
        <xdr:cNvSpPr/>
      </xdr:nvSpPr>
      <xdr:spPr bwMode="auto">
        <a:xfrm>
          <a:off x="13205460" y="382638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72"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200-000018210000}"/>
            </a:ext>
          </a:extLst>
        </xdr:cNvPr>
        <xdr:cNvSpPr/>
      </xdr:nvSpPr>
      <xdr:spPr bwMode="auto">
        <a:xfrm>
          <a:off x="13205460" y="395058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73"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200-000019210000}"/>
            </a:ext>
          </a:extLst>
        </xdr:cNvPr>
        <xdr:cNvSpPr/>
      </xdr:nvSpPr>
      <xdr:spPr bwMode="auto">
        <a:xfrm>
          <a:off x="13205460" y="407479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474"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200-00001A210000}"/>
            </a:ext>
          </a:extLst>
        </xdr:cNvPr>
        <xdr:cNvSpPr/>
      </xdr:nvSpPr>
      <xdr:spPr bwMode="auto">
        <a:xfrm>
          <a:off x="132054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475"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200-00001B21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76"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200-00001C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77"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200-00001D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78"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200-00001E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79"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200-00001F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80"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200-000020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481"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200-00002121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82"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200-000022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83"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200-000023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84"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200-000024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85"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200-000025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86"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200-000026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487"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200-00002721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88"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200-000028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89"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200-000029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90"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200-00002A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91"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200-00002B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92"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200-00002C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493"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200-00002D21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94"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200-00002E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95"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200-00002F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96"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200-000030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97"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200-000031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498"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200-000032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8499"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200-000033210000}"/>
            </a:ext>
          </a:extLst>
        </xdr:cNvPr>
        <xdr:cNvSpPr/>
      </xdr:nvSpPr>
      <xdr:spPr bwMode="auto">
        <a:xfrm>
          <a:off x="13176885" y="417423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500"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200-000034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501"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200-000035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502"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200-000036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503"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200-000037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8504"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200-000038210000}"/>
            </a:ext>
          </a:extLst>
        </xdr:cNvPr>
        <xdr:cNvSpPr/>
      </xdr:nvSpPr>
      <xdr:spPr bwMode="auto">
        <a:xfrm>
          <a:off x="13167360" y="417423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8505"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39210000}"/>
            </a:ext>
          </a:extLst>
        </xdr:cNvPr>
        <xdr:cNvSpPr/>
      </xdr:nvSpPr>
      <xdr:spPr bwMode="auto">
        <a:xfrm>
          <a:off x="13200529" y="10632141"/>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506"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3A210000}"/>
            </a:ext>
          </a:extLst>
        </xdr:cNvPr>
        <xdr:cNvSpPr/>
      </xdr:nvSpPr>
      <xdr:spPr bwMode="auto">
        <a:xfrm>
          <a:off x="13200529" y="16746071"/>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507"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3B210000}"/>
            </a:ext>
          </a:extLst>
        </xdr:cNvPr>
        <xdr:cNvSpPr/>
      </xdr:nvSpPr>
      <xdr:spPr bwMode="auto">
        <a:xfrm>
          <a:off x="13200529" y="16746071"/>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50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3C210000}"/>
            </a:ext>
          </a:extLst>
        </xdr:cNvPr>
        <xdr:cNvSpPr/>
      </xdr:nvSpPr>
      <xdr:spPr bwMode="auto">
        <a:xfrm>
          <a:off x="13200529" y="22958612"/>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509"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3D210000}"/>
            </a:ext>
          </a:extLst>
        </xdr:cNvPr>
        <xdr:cNvSpPr/>
      </xdr:nvSpPr>
      <xdr:spPr bwMode="auto">
        <a:xfrm>
          <a:off x="13200529" y="22958612"/>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510"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3E210000}"/>
            </a:ext>
          </a:extLst>
        </xdr:cNvPr>
        <xdr:cNvSpPr/>
      </xdr:nvSpPr>
      <xdr:spPr bwMode="auto">
        <a:xfrm>
          <a:off x="13200529" y="22958612"/>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511"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3F210000}"/>
            </a:ext>
          </a:extLst>
        </xdr:cNvPr>
        <xdr:cNvSpPr/>
      </xdr:nvSpPr>
      <xdr:spPr bwMode="auto">
        <a:xfrm>
          <a:off x="13200529" y="29063576"/>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512"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40210000}"/>
            </a:ext>
          </a:extLst>
        </xdr:cNvPr>
        <xdr:cNvSpPr/>
      </xdr:nvSpPr>
      <xdr:spPr bwMode="auto">
        <a:xfrm>
          <a:off x="13200529" y="29063576"/>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513"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41210000}"/>
            </a:ext>
          </a:extLst>
        </xdr:cNvPr>
        <xdr:cNvSpPr/>
      </xdr:nvSpPr>
      <xdr:spPr bwMode="auto">
        <a:xfrm>
          <a:off x="13200529" y="29063576"/>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514"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200-000042210000}"/>
            </a:ext>
          </a:extLst>
        </xdr:cNvPr>
        <xdr:cNvSpPr/>
      </xdr:nvSpPr>
      <xdr:spPr bwMode="auto">
        <a:xfrm>
          <a:off x="13200529" y="29063576"/>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123825</xdr:colOff>
      <xdr:row>0</xdr:row>
      <xdr:rowOff>85726</xdr:rowOff>
    </xdr:from>
    <xdr:ext cx="0" cy="730672"/>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6</xdr:col>
          <xdr:colOff>676275</xdr:colOff>
          <xdr:row>16</xdr:row>
          <xdr:rowOff>342900</xdr:rowOff>
        </xdr:from>
        <xdr:to>
          <xdr:col>6</xdr:col>
          <xdr:colOff>1019175</xdr:colOff>
          <xdr:row>16</xdr:row>
          <xdr:rowOff>695325</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3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17</xdr:row>
          <xdr:rowOff>409575</xdr:rowOff>
        </xdr:from>
        <xdr:to>
          <xdr:col>6</xdr:col>
          <xdr:colOff>1019175</xdr:colOff>
          <xdr:row>17</xdr:row>
          <xdr:rowOff>752475</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3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18</xdr:row>
          <xdr:rowOff>409575</xdr:rowOff>
        </xdr:from>
        <xdr:to>
          <xdr:col>6</xdr:col>
          <xdr:colOff>1019175</xdr:colOff>
          <xdr:row>18</xdr:row>
          <xdr:rowOff>752475</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3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19</xdr:row>
          <xdr:rowOff>381000</xdr:rowOff>
        </xdr:from>
        <xdr:to>
          <xdr:col>6</xdr:col>
          <xdr:colOff>1019175</xdr:colOff>
          <xdr:row>19</xdr:row>
          <xdr:rowOff>733425</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3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26</xdr:row>
      <xdr:rowOff>0</xdr:rowOff>
    </xdr:from>
    <xdr:ext cx="333375" cy="342900"/>
    <xdr:sp macro="" textlink="">
      <xdr:nvSpPr>
        <xdr:cNvPr id="6" name="Check Box 90" hidden="1">
          <a:extLst>
            <a:ext uri="{63B3BB69-23CF-44E3-9099-C40C66FF867C}">
              <a14:compatExt xmlns:a14="http://schemas.microsoft.com/office/drawing/2010/main" spid="_x0000_s5210"/>
            </a:ext>
            <a:ext uri="{FF2B5EF4-FFF2-40B4-BE49-F238E27FC236}">
              <a16:creationId xmlns:a16="http://schemas.microsoft.com/office/drawing/2014/main" id="{00000000-0008-0000-0300-000006000000}"/>
            </a:ext>
          </a:extLst>
        </xdr:cNvPr>
        <xdr:cNvSpPr/>
      </xdr:nvSpPr>
      <xdr:spPr bwMode="auto">
        <a:xfrm>
          <a:off x="13224510"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7" name="Check Box 91" hidden="1">
          <a:extLst>
            <a:ext uri="{63B3BB69-23CF-44E3-9099-C40C66FF867C}">
              <a14:compatExt xmlns:a14="http://schemas.microsoft.com/office/drawing/2010/main" spid="_x0000_s5211"/>
            </a:ext>
            <a:ext uri="{FF2B5EF4-FFF2-40B4-BE49-F238E27FC236}">
              <a16:creationId xmlns:a16="http://schemas.microsoft.com/office/drawing/2014/main" id="{00000000-0008-0000-0300-00000700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8" name="Check Box 92" hidden="1">
          <a:extLst>
            <a:ext uri="{63B3BB69-23CF-44E3-9099-C40C66FF867C}">
              <a14:compatExt xmlns:a14="http://schemas.microsoft.com/office/drawing/2010/main" spid="_x0000_s5212"/>
            </a:ext>
            <a:ext uri="{FF2B5EF4-FFF2-40B4-BE49-F238E27FC236}">
              <a16:creationId xmlns:a16="http://schemas.microsoft.com/office/drawing/2014/main" id="{00000000-0008-0000-0300-00000800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9" name="Check Box 93" hidden="1">
          <a:extLst>
            <a:ext uri="{63B3BB69-23CF-44E3-9099-C40C66FF867C}">
              <a14:compatExt xmlns:a14="http://schemas.microsoft.com/office/drawing/2010/main" spid="_x0000_s5213"/>
            </a:ext>
            <a:ext uri="{FF2B5EF4-FFF2-40B4-BE49-F238E27FC236}">
              <a16:creationId xmlns:a16="http://schemas.microsoft.com/office/drawing/2014/main" id="{00000000-0008-0000-0300-00000900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 name="Check Box 94" hidden="1">
          <a:extLst>
            <a:ext uri="{63B3BB69-23CF-44E3-9099-C40C66FF867C}">
              <a14:compatExt xmlns:a14="http://schemas.microsoft.com/office/drawing/2010/main" spid="_x0000_s5214"/>
            </a:ext>
            <a:ext uri="{FF2B5EF4-FFF2-40B4-BE49-F238E27FC236}">
              <a16:creationId xmlns:a16="http://schemas.microsoft.com/office/drawing/2014/main" id="{00000000-0008-0000-0300-00000A00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1" name="Check Box 95" hidden="1">
          <a:extLst>
            <a:ext uri="{63B3BB69-23CF-44E3-9099-C40C66FF867C}">
              <a14:compatExt xmlns:a14="http://schemas.microsoft.com/office/drawing/2010/main" spid="_x0000_s5215"/>
            </a:ext>
            <a:ext uri="{FF2B5EF4-FFF2-40B4-BE49-F238E27FC236}">
              <a16:creationId xmlns:a16="http://schemas.microsoft.com/office/drawing/2014/main" id="{00000000-0008-0000-0300-00000B00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2"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300-00000C00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3"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300-00000D00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4"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300-00000E00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5"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300-00000F00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6"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300-00001000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7"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300-00001100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300-00001200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9"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300-000013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0"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300-000014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1"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300-000015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2"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300-000016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3"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300-000017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24"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300-00001800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5"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300-000019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6"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300-00001A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7"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300-00001B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8"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300-00001C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9"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300-00001D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123825</xdr:colOff>
      <xdr:row>0</xdr:row>
      <xdr:rowOff>85726</xdr:rowOff>
    </xdr:from>
    <xdr:ext cx="0" cy="730672"/>
    <xdr:pic>
      <xdr:nvPicPr>
        <xdr:cNvPr id="30" name="Imagen 29">
          <a:extLst>
            <a:ext uri="{FF2B5EF4-FFF2-40B4-BE49-F238E27FC236}">
              <a16:creationId xmlns:a16="http://schemas.microsoft.com/office/drawing/2014/main" id="{00000000-0008-0000-03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1" name="Imagen 30">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32" name="Imagen 31">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xdr:oneCellAnchor>
    <xdr:from>
      <xdr:col>6</xdr:col>
      <xdr:colOff>1009650</xdr:colOff>
      <xdr:row>16</xdr:row>
      <xdr:rowOff>0</xdr:rowOff>
    </xdr:from>
    <xdr:ext cx="333375" cy="342900"/>
    <xdr:sp macro="" textlink="">
      <xdr:nvSpPr>
        <xdr:cNvPr id="33"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300-000021000000}"/>
            </a:ext>
          </a:extLst>
        </xdr:cNvPr>
        <xdr:cNvSpPr/>
      </xdr:nvSpPr>
      <xdr:spPr bwMode="auto">
        <a:xfrm>
          <a:off x="13224510" y="536448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16</xdr:row>
      <xdr:rowOff>180975</xdr:rowOff>
    </xdr:from>
    <xdr:ext cx="342900" cy="342900"/>
    <xdr:sp macro="" textlink="">
      <xdr:nvSpPr>
        <xdr:cNvPr id="34"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300-000022000000}"/>
            </a:ext>
          </a:extLst>
        </xdr:cNvPr>
        <xdr:cNvSpPr/>
      </xdr:nvSpPr>
      <xdr:spPr bwMode="auto">
        <a:xfrm>
          <a:off x="13205460" y="554545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17</xdr:row>
      <xdr:rowOff>247650</xdr:rowOff>
    </xdr:from>
    <xdr:ext cx="342900" cy="342900"/>
    <xdr:sp macro="" textlink="">
      <xdr:nvSpPr>
        <xdr:cNvPr id="35"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300-000023000000}"/>
            </a:ext>
          </a:extLst>
        </xdr:cNvPr>
        <xdr:cNvSpPr/>
      </xdr:nvSpPr>
      <xdr:spPr bwMode="auto">
        <a:xfrm>
          <a:off x="13205460" y="68541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18</xdr:row>
      <xdr:rowOff>238125</xdr:rowOff>
    </xdr:from>
    <xdr:ext cx="342900" cy="342900"/>
    <xdr:sp macro="" textlink="">
      <xdr:nvSpPr>
        <xdr:cNvPr id="36"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300-000024000000}"/>
            </a:ext>
          </a:extLst>
        </xdr:cNvPr>
        <xdr:cNvSpPr/>
      </xdr:nvSpPr>
      <xdr:spPr bwMode="auto">
        <a:xfrm>
          <a:off x="13205460" y="808672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19</xdr:row>
      <xdr:rowOff>219075</xdr:rowOff>
    </xdr:from>
    <xdr:ext cx="342900" cy="342900"/>
    <xdr:sp macro="" textlink="">
      <xdr:nvSpPr>
        <xdr:cNvPr id="37"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300-000025000000}"/>
            </a:ext>
          </a:extLst>
        </xdr:cNvPr>
        <xdr:cNvSpPr/>
      </xdr:nvSpPr>
      <xdr:spPr bwMode="auto">
        <a:xfrm>
          <a:off x="13205460" y="93097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3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26000000}"/>
            </a:ext>
          </a:extLst>
        </xdr:cNvPr>
        <xdr:cNvSpPr/>
      </xdr:nvSpPr>
      <xdr:spPr bwMode="auto">
        <a:xfrm>
          <a:off x="13205460" y="105765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39"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300-000027000000}"/>
            </a:ext>
          </a:extLst>
        </xdr:cNvPr>
        <xdr:cNvSpPr/>
      </xdr:nvSpPr>
      <xdr:spPr bwMode="auto">
        <a:xfrm>
          <a:off x="13214985" y="3094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40"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300-000028000000}"/>
            </a:ext>
          </a:extLst>
        </xdr:cNvPr>
        <xdr:cNvSpPr/>
      </xdr:nvSpPr>
      <xdr:spPr bwMode="auto">
        <a:xfrm>
          <a:off x="13205460" y="311353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41"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300-000029000000}"/>
            </a:ext>
          </a:extLst>
        </xdr:cNvPr>
        <xdr:cNvSpPr/>
      </xdr:nvSpPr>
      <xdr:spPr bwMode="auto">
        <a:xfrm>
          <a:off x="13205460" y="324345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42"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300-00002A000000}"/>
            </a:ext>
          </a:extLst>
        </xdr:cNvPr>
        <xdr:cNvSpPr/>
      </xdr:nvSpPr>
      <xdr:spPr bwMode="auto">
        <a:xfrm>
          <a:off x="13205460" y="336765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43"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300-00002B000000}"/>
            </a:ext>
          </a:extLst>
        </xdr:cNvPr>
        <xdr:cNvSpPr/>
      </xdr:nvSpPr>
      <xdr:spPr bwMode="auto">
        <a:xfrm>
          <a:off x="13205460" y="349186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44"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300-00002C000000}"/>
            </a:ext>
          </a:extLst>
        </xdr:cNvPr>
        <xdr:cNvSpPr/>
      </xdr:nvSpPr>
      <xdr:spPr bwMode="auto">
        <a:xfrm>
          <a:off x="13205460" y="359130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45"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300-00002D00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46"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300-00002E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47"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300-00002F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48"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300-000030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49"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300-000031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0"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300-000032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51"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300-00003300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2"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300-000034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3"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300-000035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4"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300-000036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5"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300-000037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6"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300-000038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57"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300-00003900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8"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300-00003A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9"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300-00003B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60"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300-00003C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61"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300-00003D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62"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300-00003E00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26</xdr:row>
      <xdr:rowOff>0</xdr:rowOff>
    </xdr:from>
    <xdr:ext cx="333375" cy="342900"/>
    <xdr:sp macro="" textlink="">
      <xdr:nvSpPr>
        <xdr:cNvPr id="63" name="Check Box 169" hidden="1">
          <a:extLst>
            <a:ext uri="{63B3BB69-23CF-44E3-9099-C40C66FF867C}">
              <a14:compatExt xmlns:a14="http://schemas.microsoft.com/office/drawing/2010/main" spid="_x0000_s5289"/>
            </a:ext>
            <a:ext uri="{FF2B5EF4-FFF2-40B4-BE49-F238E27FC236}">
              <a16:creationId xmlns:a16="http://schemas.microsoft.com/office/drawing/2014/main" id="{00000000-0008-0000-0300-00003F000000}"/>
            </a:ext>
          </a:extLst>
        </xdr:cNvPr>
        <xdr:cNvSpPr/>
      </xdr:nvSpPr>
      <xdr:spPr bwMode="auto">
        <a:xfrm>
          <a:off x="13224510"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40" name="Check Box 170" hidden="1">
          <a:extLst>
            <a:ext uri="{63B3BB69-23CF-44E3-9099-C40C66FF867C}">
              <a14:compatExt xmlns:a14="http://schemas.microsoft.com/office/drawing/2010/main" spid="_x0000_s5290"/>
            </a:ext>
            <a:ext uri="{FF2B5EF4-FFF2-40B4-BE49-F238E27FC236}">
              <a16:creationId xmlns:a16="http://schemas.microsoft.com/office/drawing/2014/main" id="{00000000-0008-0000-0300-000000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49" name="Check Box 171" hidden="1">
          <a:extLst>
            <a:ext uri="{63B3BB69-23CF-44E3-9099-C40C66FF867C}">
              <a14:compatExt xmlns:a14="http://schemas.microsoft.com/office/drawing/2010/main" spid="_x0000_s5291"/>
            </a:ext>
            <a:ext uri="{FF2B5EF4-FFF2-40B4-BE49-F238E27FC236}">
              <a16:creationId xmlns:a16="http://schemas.microsoft.com/office/drawing/2014/main" id="{00000000-0008-0000-0300-000009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50" name="Check Box 172" hidden="1">
          <a:extLst>
            <a:ext uri="{63B3BB69-23CF-44E3-9099-C40C66FF867C}">
              <a14:compatExt xmlns:a14="http://schemas.microsoft.com/office/drawing/2010/main" spid="_x0000_s5292"/>
            </a:ext>
            <a:ext uri="{FF2B5EF4-FFF2-40B4-BE49-F238E27FC236}">
              <a16:creationId xmlns:a16="http://schemas.microsoft.com/office/drawing/2014/main" id="{00000000-0008-0000-0300-00000A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51" name="Check Box 173" hidden="1">
          <a:extLst>
            <a:ext uri="{63B3BB69-23CF-44E3-9099-C40C66FF867C}">
              <a14:compatExt xmlns:a14="http://schemas.microsoft.com/office/drawing/2010/main" spid="_x0000_s5293"/>
            </a:ext>
            <a:ext uri="{FF2B5EF4-FFF2-40B4-BE49-F238E27FC236}">
              <a16:creationId xmlns:a16="http://schemas.microsoft.com/office/drawing/2014/main" id="{00000000-0008-0000-0300-00000B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52" name="Check Box 174" hidden="1">
          <a:extLst>
            <a:ext uri="{63B3BB69-23CF-44E3-9099-C40C66FF867C}">
              <a14:compatExt xmlns:a14="http://schemas.microsoft.com/office/drawing/2010/main" spid="_x0000_s5294"/>
            </a:ext>
            <a:ext uri="{FF2B5EF4-FFF2-40B4-BE49-F238E27FC236}">
              <a16:creationId xmlns:a16="http://schemas.microsoft.com/office/drawing/2014/main" id="{00000000-0008-0000-0300-00000C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253" name="Check Box 175" hidden="1">
          <a:extLst>
            <a:ext uri="{63B3BB69-23CF-44E3-9099-C40C66FF867C}">
              <a14:compatExt xmlns:a14="http://schemas.microsoft.com/office/drawing/2010/main" spid="_x0000_s5295"/>
            </a:ext>
            <a:ext uri="{FF2B5EF4-FFF2-40B4-BE49-F238E27FC236}">
              <a16:creationId xmlns:a16="http://schemas.microsoft.com/office/drawing/2014/main" id="{00000000-0008-0000-0300-00000D28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54" name="Check Box 176" hidden="1">
          <a:extLst>
            <a:ext uri="{63B3BB69-23CF-44E3-9099-C40C66FF867C}">
              <a14:compatExt xmlns:a14="http://schemas.microsoft.com/office/drawing/2010/main" spid="_x0000_s5296"/>
            </a:ext>
            <a:ext uri="{FF2B5EF4-FFF2-40B4-BE49-F238E27FC236}">
              <a16:creationId xmlns:a16="http://schemas.microsoft.com/office/drawing/2014/main" id="{00000000-0008-0000-0300-00000E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55" name="Check Box 177" hidden="1">
          <a:extLst>
            <a:ext uri="{63B3BB69-23CF-44E3-9099-C40C66FF867C}">
              <a14:compatExt xmlns:a14="http://schemas.microsoft.com/office/drawing/2010/main" spid="_x0000_s5297"/>
            </a:ext>
            <a:ext uri="{FF2B5EF4-FFF2-40B4-BE49-F238E27FC236}">
              <a16:creationId xmlns:a16="http://schemas.microsoft.com/office/drawing/2014/main" id="{00000000-0008-0000-0300-00000F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56" name="Check Box 178" hidden="1">
          <a:extLst>
            <a:ext uri="{63B3BB69-23CF-44E3-9099-C40C66FF867C}">
              <a14:compatExt xmlns:a14="http://schemas.microsoft.com/office/drawing/2010/main" spid="_x0000_s5298"/>
            </a:ext>
            <a:ext uri="{FF2B5EF4-FFF2-40B4-BE49-F238E27FC236}">
              <a16:creationId xmlns:a16="http://schemas.microsoft.com/office/drawing/2014/main" id="{00000000-0008-0000-0300-000010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57" name="Check Box 179" hidden="1">
          <a:extLst>
            <a:ext uri="{63B3BB69-23CF-44E3-9099-C40C66FF867C}">
              <a14:compatExt xmlns:a14="http://schemas.microsoft.com/office/drawing/2010/main" spid="_x0000_s5299"/>
            </a:ext>
            <a:ext uri="{FF2B5EF4-FFF2-40B4-BE49-F238E27FC236}">
              <a16:creationId xmlns:a16="http://schemas.microsoft.com/office/drawing/2014/main" id="{00000000-0008-0000-0300-000011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58" name="Check Box 180" hidden="1">
          <a:extLst>
            <a:ext uri="{63B3BB69-23CF-44E3-9099-C40C66FF867C}">
              <a14:compatExt xmlns:a14="http://schemas.microsoft.com/office/drawing/2010/main" spid="_x0000_s5300"/>
            </a:ext>
            <a:ext uri="{FF2B5EF4-FFF2-40B4-BE49-F238E27FC236}">
              <a16:creationId xmlns:a16="http://schemas.microsoft.com/office/drawing/2014/main" id="{00000000-0008-0000-0300-000012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259" name="Check Box 181" hidden="1">
          <a:extLst>
            <a:ext uri="{63B3BB69-23CF-44E3-9099-C40C66FF867C}">
              <a14:compatExt xmlns:a14="http://schemas.microsoft.com/office/drawing/2010/main" spid="_x0000_s5301"/>
            </a:ext>
            <a:ext uri="{FF2B5EF4-FFF2-40B4-BE49-F238E27FC236}">
              <a16:creationId xmlns:a16="http://schemas.microsoft.com/office/drawing/2014/main" id="{00000000-0008-0000-0300-000013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60" name="Check Box 182" hidden="1">
          <a:extLst>
            <a:ext uri="{63B3BB69-23CF-44E3-9099-C40C66FF867C}">
              <a14:compatExt xmlns:a14="http://schemas.microsoft.com/office/drawing/2010/main" spid="_x0000_s5302"/>
            </a:ext>
            <a:ext uri="{FF2B5EF4-FFF2-40B4-BE49-F238E27FC236}">
              <a16:creationId xmlns:a16="http://schemas.microsoft.com/office/drawing/2014/main" id="{00000000-0008-0000-0300-000014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61" name="Check Box 183" hidden="1">
          <a:extLst>
            <a:ext uri="{63B3BB69-23CF-44E3-9099-C40C66FF867C}">
              <a14:compatExt xmlns:a14="http://schemas.microsoft.com/office/drawing/2010/main" spid="_x0000_s5303"/>
            </a:ext>
            <a:ext uri="{FF2B5EF4-FFF2-40B4-BE49-F238E27FC236}">
              <a16:creationId xmlns:a16="http://schemas.microsoft.com/office/drawing/2014/main" id="{00000000-0008-0000-0300-000015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62" name="Check Box 184" hidden="1">
          <a:extLst>
            <a:ext uri="{63B3BB69-23CF-44E3-9099-C40C66FF867C}">
              <a14:compatExt xmlns:a14="http://schemas.microsoft.com/office/drawing/2010/main" spid="_x0000_s5304"/>
            </a:ext>
            <a:ext uri="{FF2B5EF4-FFF2-40B4-BE49-F238E27FC236}">
              <a16:creationId xmlns:a16="http://schemas.microsoft.com/office/drawing/2014/main" id="{00000000-0008-0000-0300-000016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63" name="Check Box 185" hidden="1">
          <a:extLst>
            <a:ext uri="{63B3BB69-23CF-44E3-9099-C40C66FF867C}">
              <a14:compatExt xmlns:a14="http://schemas.microsoft.com/office/drawing/2010/main" spid="_x0000_s5305"/>
            </a:ext>
            <a:ext uri="{FF2B5EF4-FFF2-40B4-BE49-F238E27FC236}">
              <a16:creationId xmlns:a16="http://schemas.microsoft.com/office/drawing/2014/main" id="{00000000-0008-0000-0300-000017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64" name="Check Box 186" hidden="1">
          <a:extLst>
            <a:ext uri="{63B3BB69-23CF-44E3-9099-C40C66FF867C}">
              <a14:compatExt xmlns:a14="http://schemas.microsoft.com/office/drawing/2010/main" spid="_x0000_s5306"/>
            </a:ext>
            <a:ext uri="{FF2B5EF4-FFF2-40B4-BE49-F238E27FC236}">
              <a16:creationId xmlns:a16="http://schemas.microsoft.com/office/drawing/2014/main" id="{00000000-0008-0000-0300-000018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265" name="Check Box 187" hidden="1">
          <a:extLst>
            <a:ext uri="{63B3BB69-23CF-44E3-9099-C40C66FF867C}">
              <a14:compatExt xmlns:a14="http://schemas.microsoft.com/office/drawing/2010/main" spid="_x0000_s5307"/>
            </a:ext>
            <a:ext uri="{FF2B5EF4-FFF2-40B4-BE49-F238E27FC236}">
              <a16:creationId xmlns:a16="http://schemas.microsoft.com/office/drawing/2014/main" id="{00000000-0008-0000-0300-000019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66" name="Check Box 188" hidden="1">
          <a:extLst>
            <a:ext uri="{63B3BB69-23CF-44E3-9099-C40C66FF867C}">
              <a14:compatExt xmlns:a14="http://schemas.microsoft.com/office/drawing/2010/main" spid="_x0000_s5308"/>
            </a:ext>
            <a:ext uri="{FF2B5EF4-FFF2-40B4-BE49-F238E27FC236}">
              <a16:creationId xmlns:a16="http://schemas.microsoft.com/office/drawing/2014/main" id="{00000000-0008-0000-0300-00001A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67" name="Check Box 189" hidden="1">
          <a:extLst>
            <a:ext uri="{63B3BB69-23CF-44E3-9099-C40C66FF867C}">
              <a14:compatExt xmlns:a14="http://schemas.microsoft.com/office/drawing/2010/main" spid="_x0000_s5309"/>
            </a:ext>
            <a:ext uri="{FF2B5EF4-FFF2-40B4-BE49-F238E27FC236}">
              <a16:creationId xmlns:a16="http://schemas.microsoft.com/office/drawing/2014/main" id="{00000000-0008-0000-0300-00001B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68" name="Check Box 190" hidden="1">
          <a:extLst>
            <a:ext uri="{63B3BB69-23CF-44E3-9099-C40C66FF867C}">
              <a14:compatExt xmlns:a14="http://schemas.microsoft.com/office/drawing/2010/main" spid="_x0000_s5310"/>
            </a:ext>
            <a:ext uri="{FF2B5EF4-FFF2-40B4-BE49-F238E27FC236}">
              <a16:creationId xmlns:a16="http://schemas.microsoft.com/office/drawing/2014/main" id="{00000000-0008-0000-0300-00001C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69" name="Check Box 191" hidden="1">
          <a:extLst>
            <a:ext uri="{63B3BB69-23CF-44E3-9099-C40C66FF867C}">
              <a14:compatExt xmlns:a14="http://schemas.microsoft.com/office/drawing/2010/main" spid="_x0000_s5311"/>
            </a:ext>
            <a:ext uri="{FF2B5EF4-FFF2-40B4-BE49-F238E27FC236}">
              <a16:creationId xmlns:a16="http://schemas.microsoft.com/office/drawing/2014/main" id="{00000000-0008-0000-0300-00001D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70" name="Check Box 192" hidden="1">
          <a:extLst>
            <a:ext uri="{63B3BB69-23CF-44E3-9099-C40C66FF867C}">
              <a14:compatExt xmlns:a14="http://schemas.microsoft.com/office/drawing/2010/main" spid="_x0000_s5312"/>
            </a:ext>
            <a:ext uri="{FF2B5EF4-FFF2-40B4-BE49-F238E27FC236}">
              <a16:creationId xmlns:a16="http://schemas.microsoft.com/office/drawing/2014/main" id="{00000000-0008-0000-0300-00001E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271" name="Check Box 193" hidden="1">
          <a:extLst>
            <a:ext uri="{63B3BB69-23CF-44E3-9099-C40C66FF867C}">
              <a14:compatExt xmlns:a14="http://schemas.microsoft.com/office/drawing/2010/main" spid="_x0000_s5313"/>
            </a:ext>
            <a:ext uri="{FF2B5EF4-FFF2-40B4-BE49-F238E27FC236}">
              <a16:creationId xmlns:a16="http://schemas.microsoft.com/office/drawing/2014/main" id="{00000000-0008-0000-0300-00001F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72" name="Check Box 194" hidden="1">
          <a:extLst>
            <a:ext uri="{63B3BB69-23CF-44E3-9099-C40C66FF867C}">
              <a14:compatExt xmlns:a14="http://schemas.microsoft.com/office/drawing/2010/main" spid="_x0000_s5314"/>
            </a:ext>
            <a:ext uri="{FF2B5EF4-FFF2-40B4-BE49-F238E27FC236}">
              <a16:creationId xmlns:a16="http://schemas.microsoft.com/office/drawing/2014/main" id="{00000000-0008-0000-0300-000020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73" name="Check Box 195" hidden="1">
          <a:extLst>
            <a:ext uri="{63B3BB69-23CF-44E3-9099-C40C66FF867C}">
              <a14:compatExt xmlns:a14="http://schemas.microsoft.com/office/drawing/2010/main" spid="_x0000_s5315"/>
            </a:ext>
            <a:ext uri="{FF2B5EF4-FFF2-40B4-BE49-F238E27FC236}">
              <a16:creationId xmlns:a16="http://schemas.microsoft.com/office/drawing/2014/main" id="{00000000-0008-0000-0300-000021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74" name="Check Box 196" hidden="1">
          <a:extLst>
            <a:ext uri="{63B3BB69-23CF-44E3-9099-C40C66FF867C}">
              <a14:compatExt xmlns:a14="http://schemas.microsoft.com/office/drawing/2010/main" spid="_x0000_s5316"/>
            </a:ext>
            <a:ext uri="{FF2B5EF4-FFF2-40B4-BE49-F238E27FC236}">
              <a16:creationId xmlns:a16="http://schemas.microsoft.com/office/drawing/2014/main" id="{00000000-0008-0000-0300-000022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75" name="Check Box 197" hidden="1">
          <a:extLst>
            <a:ext uri="{63B3BB69-23CF-44E3-9099-C40C66FF867C}">
              <a14:compatExt xmlns:a14="http://schemas.microsoft.com/office/drawing/2010/main" spid="_x0000_s5317"/>
            </a:ext>
            <a:ext uri="{FF2B5EF4-FFF2-40B4-BE49-F238E27FC236}">
              <a16:creationId xmlns:a16="http://schemas.microsoft.com/office/drawing/2014/main" id="{00000000-0008-0000-0300-000023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26</xdr:row>
      <xdr:rowOff>0</xdr:rowOff>
    </xdr:from>
    <xdr:ext cx="333375" cy="342900"/>
    <xdr:sp macro="" textlink="">
      <xdr:nvSpPr>
        <xdr:cNvPr id="10276" name="Check Box 198" hidden="1">
          <a:extLst>
            <a:ext uri="{63B3BB69-23CF-44E3-9099-C40C66FF867C}">
              <a14:compatExt xmlns:a14="http://schemas.microsoft.com/office/drawing/2010/main" spid="_x0000_s5318"/>
            </a:ext>
            <a:ext uri="{FF2B5EF4-FFF2-40B4-BE49-F238E27FC236}">
              <a16:creationId xmlns:a16="http://schemas.microsoft.com/office/drawing/2014/main" id="{00000000-0008-0000-0300-000024280000}"/>
            </a:ext>
          </a:extLst>
        </xdr:cNvPr>
        <xdr:cNvSpPr/>
      </xdr:nvSpPr>
      <xdr:spPr bwMode="auto">
        <a:xfrm>
          <a:off x="13224510"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77" name="Check Box 199" hidden="1">
          <a:extLst>
            <a:ext uri="{63B3BB69-23CF-44E3-9099-C40C66FF867C}">
              <a14:compatExt xmlns:a14="http://schemas.microsoft.com/office/drawing/2010/main" spid="_x0000_s5319"/>
            </a:ext>
            <a:ext uri="{FF2B5EF4-FFF2-40B4-BE49-F238E27FC236}">
              <a16:creationId xmlns:a16="http://schemas.microsoft.com/office/drawing/2014/main" id="{00000000-0008-0000-0300-000025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78" name="Check Box 200" hidden="1">
          <a:extLst>
            <a:ext uri="{63B3BB69-23CF-44E3-9099-C40C66FF867C}">
              <a14:compatExt xmlns:a14="http://schemas.microsoft.com/office/drawing/2010/main" spid="_x0000_s5320"/>
            </a:ext>
            <a:ext uri="{FF2B5EF4-FFF2-40B4-BE49-F238E27FC236}">
              <a16:creationId xmlns:a16="http://schemas.microsoft.com/office/drawing/2014/main" id="{00000000-0008-0000-0300-000026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79" name="Check Box 201" hidden="1">
          <a:extLst>
            <a:ext uri="{63B3BB69-23CF-44E3-9099-C40C66FF867C}">
              <a14:compatExt xmlns:a14="http://schemas.microsoft.com/office/drawing/2010/main" spid="_x0000_s5321"/>
            </a:ext>
            <a:ext uri="{FF2B5EF4-FFF2-40B4-BE49-F238E27FC236}">
              <a16:creationId xmlns:a16="http://schemas.microsoft.com/office/drawing/2014/main" id="{00000000-0008-0000-0300-000027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80" name="Check Box 202" hidden="1">
          <a:extLst>
            <a:ext uri="{63B3BB69-23CF-44E3-9099-C40C66FF867C}">
              <a14:compatExt xmlns:a14="http://schemas.microsoft.com/office/drawing/2010/main" spid="_x0000_s5322"/>
            </a:ext>
            <a:ext uri="{FF2B5EF4-FFF2-40B4-BE49-F238E27FC236}">
              <a16:creationId xmlns:a16="http://schemas.microsoft.com/office/drawing/2014/main" id="{00000000-0008-0000-0300-000028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81" name="Check Box 203" hidden="1">
          <a:extLst>
            <a:ext uri="{63B3BB69-23CF-44E3-9099-C40C66FF867C}">
              <a14:compatExt xmlns:a14="http://schemas.microsoft.com/office/drawing/2010/main" spid="_x0000_s5323"/>
            </a:ext>
            <a:ext uri="{FF2B5EF4-FFF2-40B4-BE49-F238E27FC236}">
              <a16:creationId xmlns:a16="http://schemas.microsoft.com/office/drawing/2014/main" id="{00000000-0008-0000-0300-000029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282"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300-00002A28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83"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300-00002B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84"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300-00002C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85"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300-00002D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86"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300-00002E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287"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300-00002F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288"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300-000030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89"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300-000031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90"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300-000032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91"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300-000033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92"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300-000034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93"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300-000035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294"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300-000036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95"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300-000037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96"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300-000038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97"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300-000039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98"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300-00003A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299" name="Check Box 221" hidden="1">
          <a:extLst>
            <a:ext uri="{63B3BB69-23CF-44E3-9099-C40C66FF867C}">
              <a14:compatExt xmlns:a14="http://schemas.microsoft.com/office/drawing/2010/main" spid="_x0000_s5341"/>
            </a:ext>
            <a:ext uri="{FF2B5EF4-FFF2-40B4-BE49-F238E27FC236}">
              <a16:creationId xmlns:a16="http://schemas.microsoft.com/office/drawing/2014/main" id="{00000000-0008-0000-0300-00003B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00"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300-00003C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26</xdr:row>
      <xdr:rowOff>0</xdr:rowOff>
    </xdr:from>
    <xdr:ext cx="333375" cy="1383030"/>
    <xdr:sp macro="" textlink="">
      <xdr:nvSpPr>
        <xdr:cNvPr id="10301"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300-00003D280000}"/>
            </a:ext>
          </a:extLst>
        </xdr:cNvPr>
        <xdr:cNvSpPr/>
      </xdr:nvSpPr>
      <xdr:spPr bwMode="auto">
        <a:xfrm>
          <a:off x="13224510" y="42374820"/>
          <a:ext cx="333375"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83030"/>
    <xdr:sp macro="" textlink="">
      <xdr:nvSpPr>
        <xdr:cNvPr id="10302"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300-00003E280000}"/>
            </a:ext>
          </a:extLst>
        </xdr:cNvPr>
        <xdr:cNvSpPr/>
      </xdr:nvSpPr>
      <xdr:spPr bwMode="auto">
        <a:xfrm>
          <a:off x="13205460" y="42374820"/>
          <a:ext cx="342900"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16355"/>
    <xdr:sp macro="" textlink="">
      <xdr:nvSpPr>
        <xdr:cNvPr id="10303"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300-00003F280000}"/>
            </a:ext>
          </a:extLst>
        </xdr:cNvPr>
        <xdr:cNvSpPr/>
      </xdr:nvSpPr>
      <xdr:spPr bwMode="auto">
        <a:xfrm>
          <a:off x="13205460" y="42374820"/>
          <a:ext cx="342900" cy="13163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25880"/>
    <xdr:sp macro="" textlink="">
      <xdr:nvSpPr>
        <xdr:cNvPr id="10304"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300-000040280000}"/>
            </a:ext>
          </a:extLst>
        </xdr:cNvPr>
        <xdr:cNvSpPr/>
      </xdr:nvSpPr>
      <xdr:spPr bwMode="auto">
        <a:xfrm>
          <a:off x="13205460" y="42374820"/>
          <a:ext cx="342900" cy="1325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44930"/>
    <xdr:sp macro="" textlink="">
      <xdr:nvSpPr>
        <xdr:cNvPr id="10305"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300-000041280000}"/>
            </a:ext>
          </a:extLst>
        </xdr:cNvPr>
        <xdr:cNvSpPr/>
      </xdr:nvSpPr>
      <xdr:spPr bwMode="auto">
        <a:xfrm>
          <a:off x="13205460" y="42374820"/>
          <a:ext cx="342900" cy="13449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2247900"/>
    <xdr:sp macro="" textlink="">
      <xdr:nvSpPr>
        <xdr:cNvPr id="10306" name="Check Box 228" hidden="1">
          <a:extLst>
            <a:ext uri="{63B3BB69-23CF-44E3-9099-C40C66FF867C}">
              <a14:compatExt xmlns:a14="http://schemas.microsoft.com/office/drawing/2010/main" spid="_x0000_s5348"/>
            </a:ext>
            <a:ext uri="{FF2B5EF4-FFF2-40B4-BE49-F238E27FC236}">
              <a16:creationId xmlns:a16="http://schemas.microsoft.com/office/drawing/2014/main" id="{00000000-0008-0000-0300-000042280000}"/>
            </a:ext>
          </a:extLst>
        </xdr:cNvPr>
        <xdr:cNvSpPr/>
      </xdr:nvSpPr>
      <xdr:spPr bwMode="auto">
        <a:xfrm>
          <a:off x="13205460" y="42374820"/>
          <a:ext cx="342900" cy="2247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1611630"/>
    <xdr:sp macro="" textlink="">
      <xdr:nvSpPr>
        <xdr:cNvPr id="10307"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300-000043280000}"/>
            </a:ext>
          </a:extLst>
        </xdr:cNvPr>
        <xdr:cNvSpPr/>
      </xdr:nvSpPr>
      <xdr:spPr bwMode="auto">
        <a:xfrm>
          <a:off x="13214985" y="42374820"/>
          <a:ext cx="333375" cy="1611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602105"/>
    <xdr:sp macro="" textlink="">
      <xdr:nvSpPr>
        <xdr:cNvPr id="10308"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300-000044280000}"/>
            </a:ext>
          </a:extLst>
        </xdr:cNvPr>
        <xdr:cNvSpPr/>
      </xdr:nvSpPr>
      <xdr:spPr bwMode="auto">
        <a:xfrm>
          <a:off x="13205460" y="42374820"/>
          <a:ext cx="342900" cy="16021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544955"/>
    <xdr:sp macro="" textlink="">
      <xdr:nvSpPr>
        <xdr:cNvPr id="10309"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300-000045280000}"/>
            </a:ext>
          </a:extLst>
        </xdr:cNvPr>
        <xdr:cNvSpPr/>
      </xdr:nvSpPr>
      <xdr:spPr bwMode="auto">
        <a:xfrm>
          <a:off x="13205460" y="4237482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544955"/>
    <xdr:sp macro="" textlink="">
      <xdr:nvSpPr>
        <xdr:cNvPr id="10310"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300-000046280000}"/>
            </a:ext>
          </a:extLst>
        </xdr:cNvPr>
        <xdr:cNvSpPr/>
      </xdr:nvSpPr>
      <xdr:spPr bwMode="auto">
        <a:xfrm>
          <a:off x="13205460" y="4237482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544955"/>
    <xdr:sp macro="" textlink="">
      <xdr:nvSpPr>
        <xdr:cNvPr id="10311"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300-000047280000}"/>
            </a:ext>
          </a:extLst>
        </xdr:cNvPr>
        <xdr:cNvSpPr/>
      </xdr:nvSpPr>
      <xdr:spPr bwMode="auto">
        <a:xfrm>
          <a:off x="13205460" y="4237482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2472690"/>
    <xdr:sp macro="" textlink="">
      <xdr:nvSpPr>
        <xdr:cNvPr id="10312" name="Check Box 234" hidden="1">
          <a:extLst>
            <a:ext uri="{63B3BB69-23CF-44E3-9099-C40C66FF867C}">
              <a14:compatExt xmlns:a14="http://schemas.microsoft.com/office/drawing/2010/main" spid="_x0000_s5354"/>
            </a:ext>
            <a:ext uri="{FF2B5EF4-FFF2-40B4-BE49-F238E27FC236}">
              <a16:creationId xmlns:a16="http://schemas.microsoft.com/office/drawing/2014/main" id="{00000000-0008-0000-0300-000048280000}"/>
            </a:ext>
          </a:extLst>
        </xdr:cNvPr>
        <xdr:cNvSpPr/>
      </xdr:nvSpPr>
      <xdr:spPr bwMode="auto">
        <a:xfrm>
          <a:off x="13205460" y="42374820"/>
          <a:ext cx="342900" cy="24726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1535430"/>
    <xdr:sp macro="" textlink="">
      <xdr:nvSpPr>
        <xdr:cNvPr id="10313" name="Check Box 235" hidden="1">
          <a:extLst>
            <a:ext uri="{63B3BB69-23CF-44E3-9099-C40C66FF867C}">
              <a14:compatExt xmlns:a14="http://schemas.microsoft.com/office/drawing/2010/main" spid="_x0000_s5355"/>
            </a:ext>
            <a:ext uri="{FF2B5EF4-FFF2-40B4-BE49-F238E27FC236}">
              <a16:creationId xmlns:a16="http://schemas.microsoft.com/office/drawing/2014/main" id="{00000000-0008-0000-0300-000049280000}"/>
            </a:ext>
          </a:extLst>
        </xdr:cNvPr>
        <xdr:cNvSpPr/>
      </xdr:nvSpPr>
      <xdr:spPr bwMode="auto">
        <a:xfrm>
          <a:off x="13176885" y="42374820"/>
          <a:ext cx="333375" cy="15354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1525905"/>
    <xdr:sp macro="" textlink="">
      <xdr:nvSpPr>
        <xdr:cNvPr id="10314" name="Check Box 236" hidden="1">
          <a:extLst>
            <a:ext uri="{63B3BB69-23CF-44E3-9099-C40C66FF867C}">
              <a14:compatExt xmlns:a14="http://schemas.microsoft.com/office/drawing/2010/main" spid="_x0000_s5356"/>
            </a:ext>
            <a:ext uri="{FF2B5EF4-FFF2-40B4-BE49-F238E27FC236}">
              <a16:creationId xmlns:a16="http://schemas.microsoft.com/office/drawing/2014/main" id="{00000000-0008-0000-0300-00004A280000}"/>
            </a:ext>
          </a:extLst>
        </xdr:cNvPr>
        <xdr:cNvSpPr/>
      </xdr:nvSpPr>
      <xdr:spPr bwMode="auto">
        <a:xfrm>
          <a:off x="13167360" y="42374820"/>
          <a:ext cx="342900" cy="15259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1478280"/>
    <xdr:sp macro="" textlink="">
      <xdr:nvSpPr>
        <xdr:cNvPr id="10315" name="Check Box 237" hidden="1">
          <a:extLst>
            <a:ext uri="{63B3BB69-23CF-44E3-9099-C40C66FF867C}">
              <a14:compatExt xmlns:a14="http://schemas.microsoft.com/office/drawing/2010/main" spid="_x0000_s5357"/>
            </a:ext>
            <a:ext uri="{FF2B5EF4-FFF2-40B4-BE49-F238E27FC236}">
              <a16:creationId xmlns:a16="http://schemas.microsoft.com/office/drawing/2014/main" id="{00000000-0008-0000-0300-00004B280000}"/>
            </a:ext>
          </a:extLst>
        </xdr:cNvPr>
        <xdr:cNvSpPr/>
      </xdr:nvSpPr>
      <xdr:spPr bwMode="auto">
        <a:xfrm>
          <a:off x="13167360" y="42374820"/>
          <a:ext cx="342900" cy="14782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1468755"/>
    <xdr:sp macro="" textlink="">
      <xdr:nvSpPr>
        <xdr:cNvPr id="10316" name="Check Box 238" hidden="1">
          <a:extLst>
            <a:ext uri="{63B3BB69-23CF-44E3-9099-C40C66FF867C}">
              <a14:compatExt xmlns:a14="http://schemas.microsoft.com/office/drawing/2010/main" spid="_x0000_s5358"/>
            </a:ext>
            <a:ext uri="{FF2B5EF4-FFF2-40B4-BE49-F238E27FC236}">
              <a16:creationId xmlns:a16="http://schemas.microsoft.com/office/drawing/2014/main" id="{00000000-0008-0000-0300-00004C280000}"/>
            </a:ext>
          </a:extLst>
        </xdr:cNvPr>
        <xdr:cNvSpPr/>
      </xdr:nvSpPr>
      <xdr:spPr bwMode="auto">
        <a:xfrm>
          <a:off x="13167360" y="4237482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1468755"/>
    <xdr:sp macro="" textlink="">
      <xdr:nvSpPr>
        <xdr:cNvPr id="10317" name="Check Box 239" hidden="1">
          <a:extLst>
            <a:ext uri="{63B3BB69-23CF-44E3-9099-C40C66FF867C}">
              <a14:compatExt xmlns:a14="http://schemas.microsoft.com/office/drawing/2010/main" spid="_x0000_s5359"/>
            </a:ext>
            <a:ext uri="{FF2B5EF4-FFF2-40B4-BE49-F238E27FC236}">
              <a16:creationId xmlns:a16="http://schemas.microsoft.com/office/drawing/2014/main" id="{00000000-0008-0000-0300-00004D280000}"/>
            </a:ext>
          </a:extLst>
        </xdr:cNvPr>
        <xdr:cNvSpPr/>
      </xdr:nvSpPr>
      <xdr:spPr bwMode="auto">
        <a:xfrm>
          <a:off x="13167360" y="4237482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318"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300-00004E28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19"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300-00004F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20"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300-000050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21"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300-000051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22"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300-000052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23"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300-000053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324"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300-00005428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25"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300-000055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26"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300-000056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27"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300-000057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28"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300-000058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29"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300-000059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330"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300-00005A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31"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300-00005B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32"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300-00005C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33"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300-00005D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34"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300-00005E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35"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300-00005F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336"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300-000060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37"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300-000061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38"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300-000062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39"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300-000063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40"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300-000064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41"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300-000065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342"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300-00006628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43"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300-000067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44"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300-000068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45"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300-000069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46"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300-00006A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47"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300-00006B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348"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300-00006C28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49"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300-00006D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50"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300-00006E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51"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300-00006F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52"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300-000070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53"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300-000071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354"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300-000072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55"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300-000073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56"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300-000074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57"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300-000075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58"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300-000076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59"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300-000077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360"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300-000078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61"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300-000079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62"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300-00007A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63"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300-00007B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64"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300-00007C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65"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300-00007D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366"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300-00007E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67"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300-00007F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68"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300-000080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69"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300-000081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70"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300-000082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71"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300-000083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372"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300-000084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73"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300-000085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74"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300-000086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75"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300-000087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76"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300-000088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77"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300-000089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378"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300-00008A28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79"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300-00008B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80"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300-00008C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81"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300-00008D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82"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300-00008E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83"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300-00008F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384"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300-00009028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85"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300-000091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86"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300-000092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87"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300-000093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88"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300-000094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389"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300-000095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26</xdr:row>
      <xdr:rowOff>0</xdr:rowOff>
    </xdr:from>
    <xdr:ext cx="333375" cy="1390650"/>
    <xdr:sp macro="" textlink="">
      <xdr:nvSpPr>
        <xdr:cNvPr id="10390"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300-000096280000}"/>
            </a:ext>
          </a:extLst>
        </xdr:cNvPr>
        <xdr:cNvSpPr/>
      </xdr:nvSpPr>
      <xdr:spPr bwMode="auto">
        <a:xfrm>
          <a:off x="13224510" y="4237482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90650"/>
    <xdr:sp macro="" textlink="">
      <xdr:nvSpPr>
        <xdr:cNvPr id="10391"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300-000097280000}"/>
            </a:ext>
          </a:extLst>
        </xdr:cNvPr>
        <xdr:cNvSpPr/>
      </xdr:nvSpPr>
      <xdr:spPr bwMode="auto">
        <a:xfrm>
          <a:off x="13205460" y="4237482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23975"/>
    <xdr:sp macro="" textlink="">
      <xdr:nvSpPr>
        <xdr:cNvPr id="10392"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300-000098280000}"/>
            </a:ext>
          </a:extLst>
        </xdr:cNvPr>
        <xdr:cNvSpPr/>
      </xdr:nvSpPr>
      <xdr:spPr bwMode="auto">
        <a:xfrm>
          <a:off x="13205460" y="4237482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33500"/>
    <xdr:sp macro="" textlink="">
      <xdr:nvSpPr>
        <xdr:cNvPr id="10393"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300-000099280000}"/>
            </a:ext>
          </a:extLst>
        </xdr:cNvPr>
        <xdr:cNvSpPr/>
      </xdr:nvSpPr>
      <xdr:spPr bwMode="auto">
        <a:xfrm>
          <a:off x="13205460" y="4237482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52550"/>
    <xdr:sp macro="" textlink="">
      <xdr:nvSpPr>
        <xdr:cNvPr id="10394"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300-00009A280000}"/>
            </a:ext>
          </a:extLst>
        </xdr:cNvPr>
        <xdr:cNvSpPr/>
      </xdr:nvSpPr>
      <xdr:spPr bwMode="auto">
        <a:xfrm>
          <a:off x="13205460" y="4237482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395"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300-00009B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96"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300-00009C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97"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300-00009D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98"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300-00009E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399"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300-00009F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00"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300-0000A0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401"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300-0000A1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02"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300-0000A2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03"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300-0000A3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04"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300-0000A4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05"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300-0000A5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06"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300-0000A6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407"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300-0000A7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08"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300-0000A8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09"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300-0000A9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10"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300-0000AA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11"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300-0000AB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12"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300-0000AC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413"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300-0000AD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14"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300-0000AE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15"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300-0000AF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16"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300-0000B0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17"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300-0000B1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18"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300-0000B2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419"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300-0000B328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20"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300-0000B4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21"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300-0000B5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22"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300-0000B6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23"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300-0000B7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24"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300-0000B8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425"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300-0000B928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26"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300-0000BA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27"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300-0000BB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28"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300-0000BC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29"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300-0000BD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30"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300-0000BE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1619250"/>
    <xdr:sp macro="" textlink="">
      <xdr:nvSpPr>
        <xdr:cNvPr id="10431"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300-0000BF280000}"/>
            </a:ext>
          </a:extLst>
        </xdr:cNvPr>
        <xdr:cNvSpPr/>
      </xdr:nvSpPr>
      <xdr:spPr bwMode="auto">
        <a:xfrm>
          <a:off x="13214985" y="42374820"/>
          <a:ext cx="333375" cy="1619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609725"/>
    <xdr:sp macro="" textlink="">
      <xdr:nvSpPr>
        <xdr:cNvPr id="10432"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300-0000C0280000}"/>
            </a:ext>
          </a:extLst>
        </xdr:cNvPr>
        <xdr:cNvSpPr/>
      </xdr:nvSpPr>
      <xdr:spPr bwMode="auto">
        <a:xfrm>
          <a:off x="13205460" y="42374820"/>
          <a:ext cx="342900" cy="16097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552575"/>
    <xdr:sp macro="" textlink="">
      <xdr:nvSpPr>
        <xdr:cNvPr id="10433"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300-0000C1280000}"/>
            </a:ext>
          </a:extLst>
        </xdr:cNvPr>
        <xdr:cNvSpPr/>
      </xdr:nvSpPr>
      <xdr:spPr bwMode="auto">
        <a:xfrm>
          <a:off x="13205460" y="4237482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552575"/>
    <xdr:sp macro="" textlink="">
      <xdr:nvSpPr>
        <xdr:cNvPr id="10434"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300-0000C2280000}"/>
            </a:ext>
          </a:extLst>
        </xdr:cNvPr>
        <xdr:cNvSpPr/>
      </xdr:nvSpPr>
      <xdr:spPr bwMode="auto">
        <a:xfrm>
          <a:off x="13205460" y="4237482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552575"/>
    <xdr:sp macro="" textlink="">
      <xdr:nvSpPr>
        <xdr:cNvPr id="10435"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300-0000C3280000}"/>
            </a:ext>
          </a:extLst>
        </xdr:cNvPr>
        <xdr:cNvSpPr/>
      </xdr:nvSpPr>
      <xdr:spPr bwMode="auto">
        <a:xfrm>
          <a:off x="13205460" y="4237482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26</xdr:row>
      <xdr:rowOff>0</xdr:rowOff>
    </xdr:from>
    <xdr:ext cx="333375" cy="1390650"/>
    <xdr:sp macro="" textlink="">
      <xdr:nvSpPr>
        <xdr:cNvPr id="10436"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300-0000C4280000}"/>
            </a:ext>
          </a:extLst>
        </xdr:cNvPr>
        <xdr:cNvSpPr/>
      </xdr:nvSpPr>
      <xdr:spPr bwMode="auto">
        <a:xfrm>
          <a:off x="13224510" y="4237482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90650"/>
    <xdr:sp macro="" textlink="">
      <xdr:nvSpPr>
        <xdr:cNvPr id="10437"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300-0000C5280000}"/>
            </a:ext>
          </a:extLst>
        </xdr:cNvPr>
        <xdr:cNvSpPr/>
      </xdr:nvSpPr>
      <xdr:spPr bwMode="auto">
        <a:xfrm>
          <a:off x="13205460" y="4237482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23975"/>
    <xdr:sp macro="" textlink="">
      <xdr:nvSpPr>
        <xdr:cNvPr id="10438"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300-0000C6280000}"/>
            </a:ext>
          </a:extLst>
        </xdr:cNvPr>
        <xdr:cNvSpPr/>
      </xdr:nvSpPr>
      <xdr:spPr bwMode="auto">
        <a:xfrm>
          <a:off x="13205460" y="4237482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33500"/>
    <xdr:sp macro="" textlink="">
      <xdr:nvSpPr>
        <xdr:cNvPr id="10439"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300-0000C7280000}"/>
            </a:ext>
          </a:extLst>
        </xdr:cNvPr>
        <xdr:cNvSpPr/>
      </xdr:nvSpPr>
      <xdr:spPr bwMode="auto">
        <a:xfrm>
          <a:off x="13205460" y="4237482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52550"/>
    <xdr:sp macro="" textlink="">
      <xdr:nvSpPr>
        <xdr:cNvPr id="10440"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300-0000C8280000}"/>
            </a:ext>
          </a:extLst>
        </xdr:cNvPr>
        <xdr:cNvSpPr/>
      </xdr:nvSpPr>
      <xdr:spPr bwMode="auto">
        <a:xfrm>
          <a:off x="13205460" y="4237482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441"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300-0000C9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42"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300-0000CA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43"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300-0000CB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44"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300-0000CC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45"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300-0000CD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46"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300-0000CE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447"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300-0000CF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48"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300-0000D0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49"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300-0000D1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50"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300-0000D2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51"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300-0000D3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52"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300-0000D4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453"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300-0000D5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54"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300-0000D6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55"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300-0000D7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56"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300-0000D8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57"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300-0000D9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58"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300-0000DA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459"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300-0000DB28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60"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300-0000DC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61"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300-0000DD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62"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300-0000DE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63"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300-0000DF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464"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300-0000E028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465"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300-0000E128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66"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300-0000E2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67"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300-0000E3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68"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300-0000E4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69"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300-0000E5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70"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300-0000E6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471"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300-0000E728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72"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300-0000E8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73"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300-0000E9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74"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300-0000EA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75"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300-0000EB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76"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300-0000EC28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22</xdr:row>
          <xdr:rowOff>419100</xdr:rowOff>
        </xdr:from>
        <xdr:to>
          <xdr:col>6</xdr:col>
          <xdr:colOff>1019175</xdr:colOff>
          <xdr:row>22</xdr:row>
          <xdr:rowOff>762000</xdr:rowOff>
        </xdr:to>
        <xdr:sp macro="" textlink="">
          <xdr:nvSpPr>
            <xdr:cNvPr id="5" name="Check Box 9" hidden="1">
              <a:extLst>
                <a:ext uri="{63B3BB69-23CF-44E3-9099-C40C66FF867C}">
                  <a14:compatExt spid="_x0000_s10249"/>
                </a:ext>
                <a:ext uri="{FF2B5EF4-FFF2-40B4-BE49-F238E27FC236}">
                  <a16:creationId xmlns:a16="http://schemas.microsoft.com/office/drawing/2014/main" id="{00000000-0008-0000-03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23</xdr:row>
          <xdr:rowOff>485775</xdr:rowOff>
        </xdr:from>
        <xdr:to>
          <xdr:col>6</xdr:col>
          <xdr:colOff>1019175</xdr:colOff>
          <xdr:row>23</xdr:row>
          <xdr:rowOff>828675</xdr:rowOff>
        </xdr:to>
        <xdr:sp macro="" textlink="">
          <xdr:nvSpPr>
            <xdr:cNvPr id="10477" name="Check Box 10" hidden="1">
              <a:extLst>
                <a:ext uri="{63B3BB69-23CF-44E3-9099-C40C66FF867C}">
                  <a14:compatExt spid="_x0000_s10250"/>
                </a:ext>
                <a:ext uri="{FF2B5EF4-FFF2-40B4-BE49-F238E27FC236}">
                  <a16:creationId xmlns:a16="http://schemas.microsoft.com/office/drawing/2014/main" id="{00000000-0008-0000-0300-0000E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24</xdr:row>
          <xdr:rowOff>485775</xdr:rowOff>
        </xdr:from>
        <xdr:to>
          <xdr:col>6</xdr:col>
          <xdr:colOff>1019175</xdr:colOff>
          <xdr:row>24</xdr:row>
          <xdr:rowOff>828675</xdr:rowOff>
        </xdr:to>
        <xdr:sp macro="" textlink="">
          <xdr:nvSpPr>
            <xdr:cNvPr id="10478" name="Check Box 11" hidden="1">
              <a:extLst>
                <a:ext uri="{63B3BB69-23CF-44E3-9099-C40C66FF867C}">
                  <a14:compatExt spid="_x0000_s10251"/>
                </a:ext>
                <a:ext uri="{FF2B5EF4-FFF2-40B4-BE49-F238E27FC236}">
                  <a16:creationId xmlns:a16="http://schemas.microsoft.com/office/drawing/2014/main" id="{00000000-0008-0000-0300-0000E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25</xdr:row>
          <xdr:rowOff>457200</xdr:rowOff>
        </xdr:from>
        <xdr:to>
          <xdr:col>6</xdr:col>
          <xdr:colOff>1019175</xdr:colOff>
          <xdr:row>25</xdr:row>
          <xdr:rowOff>809625</xdr:rowOff>
        </xdr:to>
        <xdr:sp macro="" textlink="">
          <xdr:nvSpPr>
            <xdr:cNvPr id="10479" name="Check Box 12" hidden="1">
              <a:extLst>
                <a:ext uri="{63B3BB69-23CF-44E3-9099-C40C66FF867C}">
                  <a14:compatExt spid="_x0000_s10252"/>
                </a:ext>
                <a:ext uri="{FF2B5EF4-FFF2-40B4-BE49-F238E27FC236}">
                  <a16:creationId xmlns:a16="http://schemas.microsoft.com/office/drawing/2014/main" id="{00000000-0008-0000-0300-0000E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22</xdr:row>
      <xdr:rowOff>0</xdr:rowOff>
    </xdr:from>
    <xdr:ext cx="333375" cy="342900"/>
    <xdr:sp macro="" textlink="">
      <xdr:nvSpPr>
        <xdr:cNvPr id="10481"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300-0000F1280000}"/>
            </a:ext>
          </a:extLst>
        </xdr:cNvPr>
        <xdr:cNvSpPr/>
      </xdr:nvSpPr>
      <xdr:spPr bwMode="auto">
        <a:xfrm>
          <a:off x="13224510" y="246202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22</xdr:row>
      <xdr:rowOff>180975</xdr:rowOff>
    </xdr:from>
    <xdr:ext cx="342900" cy="342900"/>
    <xdr:sp macro="" textlink="">
      <xdr:nvSpPr>
        <xdr:cNvPr id="10482"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300-0000F2280000}"/>
            </a:ext>
          </a:extLst>
        </xdr:cNvPr>
        <xdr:cNvSpPr/>
      </xdr:nvSpPr>
      <xdr:spPr bwMode="auto">
        <a:xfrm>
          <a:off x="13205460" y="2480119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23</xdr:row>
      <xdr:rowOff>247650</xdr:rowOff>
    </xdr:from>
    <xdr:ext cx="342900" cy="342900"/>
    <xdr:sp macro="" textlink="">
      <xdr:nvSpPr>
        <xdr:cNvPr id="10483"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300-0000F3280000}"/>
            </a:ext>
          </a:extLst>
        </xdr:cNvPr>
        <xdr:cNvSpPr/>
      </xdr:nvSpPr>
      <xdr:spPr bwMode="auto">
        <a:xfrm>
          <a:off x="13205460" y="261099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24</xdr:row>
      <xdr:rowOff>238125</xdr:rowOff>
    </xdr:from>
    <xdr:ext cx="342900" cy="342900"/>
    <xdr:sp macro="" textlink="">
      <xdr:nvSpPr>
        <xdr:cNvPr id="10484"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300-0000F4280000}"/>
            </a:ext>
          </a:extLst>
        </xdr:cNvPr>
        <xdr:cNvSpPr/>
      </xdr:nvSpPr>
      <xdr:spPr bwMode="auto">
        <a:xfrm>
          <a:off x="13205460" y="2734246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25</xdr:row>
      <xdr:rowOff>219075</xdr:rowOff>
    </xdr:from>
    <xdr:ext cx="342900" cy="342900"/>
    <xdr:sp macro="" textlink="">
      <xdr:nvSpPr>
        <xdr:cNvPr id="10485"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300-0000F5280000}"/>
            </a:ext>
          </a:extLst>
        </xdr:cNvPr>
        <xdr:cNvSpPr/>
      </xdr:nvSpPr>
      <xdr:spPr bwMode="auto">
        <a:xfrm>
          <a:off x="13205460" y="2856547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486"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F6280000}"/>
            </a:ext>
          </a:extLst>
        </xdr:cNvPr>
        <xdr:cNvSpPr/>
      </xdr:nvSpPr>
      <xdr:spPr bwMode="auto">
        <a:xfrm>
          <a:off x="13205460" y="29588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20</xdr:row>
      <xdr:rowOff>0</xdr:rowOff>
    </xdr:from>
    <xdr:ext cx="333375" cy="342900"/>
    <xdr:sp macro="" textlink="">
      <xdr:nvSpPr>
        <xdr:cNvPr id="10491"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300-0000FB280000}"/>
            </a:ext>
          </a:extLst>
        </xdr:cNvPr>
        <xdr:cNvSpPr/>
      </xdr:nvSpPr>
      <xdr:spPr bwMode="auto">
        <a:xfrm>
          <a:off x="13224510" y="181051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492"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300-0000FC280000}"/>
            </a:ext>
          </a:extLst>
        </xdr:cNvPr>
        <xdr:cNvSpPr/>
      </xdr:nvSpPr>
      <xdr:spPr bwMode="auto">
        <a:xfrm>
          <a:off x="13205460" y="1828609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493"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300-0000FD280000}"/>
            </a:ext>
          </a:extLst>
        </xdr:cNvPr>
        <xdr:cNvSpPr/>
      </xdr:nvSpPr>
      <xdr:spPr bwMode="auto">
        <a:xfrm>
          <a:off x="13205460" y="195948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494"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300-0000FE280000}"/>
            </a:ext>
          </a:extLst>
        </xdr:cNvPr>
        <xdr:cNvSpPr/>
      </xdr:nvSpPr>
      <xdr:spPr bwMode="auto">
        <a:xfrm>
          <a:off x="13205460" y="2082736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495"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300-0000FF280000}"/>
            </a:ext>
          </a:extLst>
        </xdr:cNvPr>
        <xdr:cNvSpPr/>
      </xdr:nvSpPr>
      <xdr:spPr bwMode="auto">
        <a:xfrm>
          <a:off x="13205460" y="222637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496"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00290000}"/>
            </a:ext>
          </a:extLst>
        </xdr:cNvPr>
        <xdr:cNvSpPr/>
      </xdr:nvSpPr>
      <xdr:spPr bwMode="auto">
        <a:xfrm>
          <a:off x="13205460" y="2350008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20</xdr:row>
      <xdr:rowOff>0</xdr:rowOff>
    </xdr:from>
    <xdr:ext cx="333375" cy="342900"/>
    <xdr:sp macro="" textlink="">
      <xdr:nvSpPr>
        <xdr:cNvPr id="10501"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300-000005290000}"/>
            </a:ext>
          </a:extLst>
        </xdr:cNvPr>
        <xdr:cNvSpPr/>
      </xdr:nvSpPr>
      <xdr:spPr bwMode="auto">
        <a:xfrm>
          <a:off x="13224510" y="117043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502"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300-000006290000}"/>
            </a:ext>
          </a:extLst>
        </xdr:cNvPr>
        <xdr:cNvSpPr/>
      </xdr:nvSpPr>
      <xdr:spPr bwMode="auto">
        <a:xfrm>
          <a:off x="13205460" y="1188529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503"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300-000007290000}"/>
            </a:ext>
          </a:extLst>
        </xdr:cNvPr>
        <xdr:cNvSpPr/>
      </xdr:nvSpPr>
      <xdr:spPr bwMode="auto">
        <a:xfrm>
          <a:off x="13205460" y="131940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504"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300-000008290000}"/>
            </a:ext>
          </a:extLst>
        </xdr:cNvPr>
        <xdr:cNvSpPr/>
      </xdr:nvSpPr>
      <xdr:spPr bwMode="auto">
        <a:xfrm>
          <a:off x="13205460" y="1442656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505"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300-000009290000}"/>
            </a:ext>
          </a:extLst>
        </xdr:cNvPr>
        <xdr:cNvSpPr/>
      </xdr:nvSpPr>
      <xdr:spPr bwMode="auto">
        <a:xfrm>
          <a:off x="13205460" y="1564957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506"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0A290000}"/>
            </a:ext>
          </a:extLst>
        </xdr:cNvPr>
        <xdr:cNvSpPr/>
      </xdr:nvSpPr>
      <xdr:spPr bwMode="auto">
        <a:xfrm>
          <a:off x="13205460" y="168783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507"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300-00000B290000}"/>
            </a:ext>
          </a:extLst>
        </xdr:cNvPr>
        <xdr:cNvSpPr/>
      </xdr:nvSpPr>
      <xdr:spPr bwMode="auto">
        <a:xfrm>
          <a:off x="132149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08"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300-00000C29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09"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300-00000D29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10"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300-00000E29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11"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300-00000F29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12"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300-00001029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0517"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300-000015290000}"/>
            </a:ext>
          </a:extLst>
        </xdr:cNvPr>
        <xdr:cNvSpPr/>
      </xdr:nvSpPr>
      <xdr:spPr bwMode="auto">
        <a:xfrm>
          <a:off x="13214985" y="3740658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18"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300-000016290000}"/>
            </a:ext>
          </a:extLst>
        </xdr:cNvPr>
        <xdr:cNvSpPr/>
      </xdr:nvSpPr>
      <xdr:spPr bwMode="auto">
        <a:xfrm>
          <a:off x="13205460" y="3759708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19"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300-000017290000}"/>
            </a:ext>
          </a:extLst>
        </xdr:cNvPr>
        <xdr:cNvSpPr/>
      </xdr:nvSpPr>
      <xdr:spPr bwMode="auto">
        <a:xfrm>
          <a:off x="13205460" y="388962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20"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300-000018290000}"/>
            </a:ext>
          </a:extLst>
        </xdr:cNvPr>
        <xdr:cNvSpPr/>
      </xdr:nvSpPr>
      <xdr:spPr bwMode="auto">
        <a:xfrm>
          <a:off x="13205460" y="401383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21"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300-000019290000}"/>
            </a:ext>
          </a:extLst>
        </xdr:cNvPr>
        <xdr:cNvSpPr/>
      </xdr:nvSpPr>
      <xdr:spPr bwMode="auto">
        <a:xfrm>
          <a:off x="13205460" y="4138041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22"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300-00001A290000}"/>
            </a:ext>
          </a:extLst>
        </xdr:cNvPr>
        <xdr:cNvSpPr/>
      </xdr:nvSpPr>
      <xdr:spPr bwMode="auto">
        <a:xfrm>
          <a:off x="132054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523"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300-00001B29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24"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300-00001C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25"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300-00001D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26"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300-00001E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27"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300-00001F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28"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300-000020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529"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300-00002129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30"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300-000022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31"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300-000023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32"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300-000024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33"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300-000025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34"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300-000026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535"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300-00002729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36"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300-000028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37"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300-000029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38"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300-00002A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39"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300-00002B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40"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300-00002C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541"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300-00002D29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42"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300-00002E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43"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300-00002F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44"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300-000030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45"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300-000031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46"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300-000032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0547"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300-000033290000}"/>
            </a:ext>
          </a:extLst>
        </xdr:cNvPr>
        <xdr:cNvSpPr/>
      </xdr:nvSpPr>
      <xdr:spPr bwMode="auto">
        <a:xfrm>
          <a:off x="13176885" y="423748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48"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300-000034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49"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300-000035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50"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300-000036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51"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300-000037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0552"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300-000038290000}"/>
            </a:ext>
          </a:extLst>
        </xdr:cNvPr>
        <xdr:cNvSpPr/>
      </xdr:nvSpPr>
      <xdr:spPr bwMode="auto">
        <a:xfrm>
          <a:off x="13167360" y="423748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553"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39290000}"/>
            </a:ext>
          </a:extLst>
        </xdr:cNvPr>
        <xdr:cNvSpPr/>
      </xdr:nvSpPr>
      <xdr:spPr bwMode="auto">
        <a:xfrm>
          <a:off x="13205460" y="168783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554"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3A290000}"/>
            </a:ext>
          </a:extLst>
        </xdr:cNvPr>
        <xdr:cNvSpPr/>
      </xdr:nvSpPr>
      <xdr:spPr bwMode="auto">
        <a:xfrm>
          <a:off x="13205460" y="2350008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10555"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3B290000}"/>
            </a:ext>
          </a:extLst>
        </xdr:cNvPr>
        <xdr:cNvSpPr/>
      </xdr:nvSpPr>
      <xdr:spPr bwMode="auto">
        <a:xfrm>
          <a:off x="13205460" y="2350008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56"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3C290000}"/>
            </a:ext>
          </a:extLst>
        </xdr:cNvPr>
        <xdr:cNvSpPr/>
      </xdr:nvSpPr>
      <xdr:spPr bwMode="auto">
        <a:xfrm>
          <a:off x="13205460" y="29588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57"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3D290000}"/>
            </a:ext>
          </a:extLst>
        </xdr:cNvPr>
        <xdr:cNvSpPr/>
      </xdr:nvSpPr>
      <xdr:spPr bwMode="auto">
        <a:xfrm>
          <a:off x="13205460" y="29588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5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3E290000}"/>
            </a:ext>
          </a:extLst>
        </xdr:cNvPr>
        <xdr:cNvSpPr/>
      </xdr:nvSpPr>
      <xdr:spPr bwMode="auto">
        <a:xfrm>
          <a:off x="13205460" y="29588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59"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3F290000}"/>
            </a:ext>
          </a:extLst>
        </xdr:cNvPr>
        <xdr:cNvSpPr/>
      </xdr:nvSpPr>
      <xdr:spPr bwMode="auto">
        <a:xfrm>
          <a:off x="13205460" y="359130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60"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40290000}"/>
            </a:ext>
          </a:extLst>
        </xdr:cNvPr>
        <xdr:cNvSpPr/>
      </xdr:nvSpPr>
      <xdr:spPr bwMode="auto">
        <a:xfrm>
          <a:off x="13205460" y="359130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61"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41290000}"/>
            </a:ext>
          </a:extLst>
        </xdr:cNvPr>
        <xdr:cNvSpPr/>
      </xdr:nvSpPr>
      <xdr:spPr bwMode="auto">
        <a:xfrm>
          <a:off x="13205460" y="359130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562"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300-000042290000}"/>
            </a:ext>
          </a:extLst>
        </xdr:cNvPr>
        <xdr:cNvSpPr/>
      </xdr:nvSpPr>
      <xdr:spPr bwMode="auto">
        <a:xfrm>
          <a:off x="13205460" y="359130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123825</xdr:colOff>
      <xdr:row>0</xdr:row>
      <xdr:rowOff>85726</xdr:rowOff>
    </xdr:from>
    <xdr:ext cx="0" cy="730672"/>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4" name="Imagen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6</xdr:col>
          <xdr:colOff>676275</xdr:colOff>
          <xdr:row>16</xdr:row>
          <xdr:rowOff>342900</xdr:rowOff>
        </xdr:from>
        <xdr:to>
          <xdr:col>6</xdr:col>
          <xdr:colOff>1019175</xdr:colOff>
          <xdr:row>16</xdr:row>
          <xdr:rowOff>695325</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4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17</xdr:row>
          <xdr:rowOff>409575</xdr:rowOff>
        </xdr:from>
        <xdr:to>
          <xdr:col>6</xdr:col>
          <xdr:colOff>1019175</xdr:colOff>
          <xdr:row>17</xdr:row>
          <xdr:rowOff>752475</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4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18</xdr:row>
          <xdr:rowOff>409575</xdr:rowOff>
        </xdr:from>
        <xdr:to>
          <xdr:col>6</xdr:col>
          <xdr:colOff>1019175</xdr:colOff>
          <xdr:row>18</xdr:row>
          <xdr:rowOff>752475</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4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19</xdr:row>
          <xdr:rowOff>381000</xdr:rowOff>
        </xdr:from>
        <xdr:to>
          <xdr:col>6</xdr:col>
          <xdr:colOff>1019175</xdr:colOff>
          <xdr:row>19</xdr:row>
          <xdr:rowOff>733425</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4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657225</xdr:colOff>
          <xdr:row>40</xdr:row>
          <xdr:rowOff>314325</xdr:rowOff>
        </xdr:from>
        <xdr:to>
          <xdr:col>6</xdr:col>
          <xdr:colOff>1000125</xdr:colOff>
          <xdr:row>40</xdr:row>
          <xdr:rowOff>657225</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4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657225</xdr:colOff>
          <xdr:row>41</xdr:row>
          <xdr:rowOff>371475</xdr:rowOff>
        </xdr:from>
        <xdr:to>
          <xdr:col>6</xdr:col>
          <xdr:colOff>1000125</xdr:colOff>
          <xdr:row>41</xdr:row>
          <xdr:rowOff>714375</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4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657225</xdr:colOff>
          <xdr:row>42</xdr:row>
          <xdr:rowOff>371475</xdr:rowOff>
        </xdr:from>
        <xdr:to>
          <xdr:col>6</xdr:col>
          <xdr:colOff>1000125</xdr:colOff>
          <xdr:row>42</xdr:row>
          <xdr:rowOff>714375</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04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657225</xdr:colOff>
          <xdr:row>43</xdr:row>
          <xdr:rowOff>371475</xdr:rowOff>
        </xdr:from>
        <xdr:to>
          <xdr:col>6</xdr:col>
          <xdr:colOff>1000125</xdr:colOff>
          <xdr:row>43</xdr:row>
          <xdr:rowOff>714375</xdr:rowOff>
        </xdr:to>
        <xdr:sp macro="" textlink="">
          <xdr:nvSpPr>
            <xdr:cNvPr id="14344" name="Check Box 8" hidden="1">
              <a:extLst>
                <a:ext uri="{63B3BB69-23CF-44E3-9099-C40C66FF867C}">
                  <a14:compatExt spid="_x0000_s14344"/>
                </a:ext>
                <a:ext uri="{FF2B5EF4-FFF2-40B4-BE49-F238E27FC236}">
                  <a16:creationId xmlns:a16="http://schemas.microsoft.com/office/drawing/2014/main" id="{00000000-0008-0000-0400-00000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44</xdr:row>
      <xdr:rowOff>0</xdr:rowOff>
    </xdr:from>
    <xdr:ext cx="333375" cy="342900"/>
    <xdr:sp macro="" textlink="">
      <xdr:nvSpPr>
        <xdr:cNvPr id="6" name="Check Box 90" hidden="1">
          <a:extLst>
            <a:ext uri="{63B3BB69-23CF-44E3-9099-C40C66FF867C}">
              <a14:compatExt xmlns:a14="http://schemas.microsoft.com/office/drawing/2010/main" spid="_x0000_s5210"/>
            </a:ext>
            <a:ext uri="{FF2B5EF4-FFF2-40B4-BE49-F238E27FC236}">
              <a16:creationId xmlns:a16="http://schemas.microsoft.com/office/drawing/2014/main" id="{00000000-0008-0000-0400-000006000000}"/>
            </a:ext>
          </a:extLst>
        </xdr:cNvPr>
        <xdr:cNvSpPr/>
      </xdr:nvSpPr>
      <xdr:spPr bwMode="auto">
        <a:xfrm>
          <a:off x="13224510"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7" name="Check Box 91" hidden="1">
          <a:extLst>
            <a:ext uri="{63B3BB69-23CF-44E3-9099-C40C66FF867C}">
              <a14:compatExt xmlns:a14="http://schemas.microsoft.com/office/drawing/2010/main" spid="_x0000_s5211"/>
            </a:ext>
            <a:ext uri="{FF2B5EF4-FFF2-40B4-BE49-F238E27FC236}">
              <a16:creationId xmlns:a16="http://schemas.microsoft.com/office/drawing/2014/main" id="{00000000-0008-0000-0400-00000700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8" name="Check Box 92" hidden="1">
          <a:extLst>
            <a:ext uri="{63B3BB69-23CF-44E3-9099-C40C66FF867C}">
              <a14:compatExt xmlns:a14="http://schemas.microsoft.com/office/drawing/2010/main" spid="_x0000_s5212"/>
            </a:ext>
            <a:ext uri="{FF2B5EF4-FFF2-40B4-BE49-F238E27FC236}">
              <a16:creationId xmlns:a16="http://schemas.microsoft.com/office/drawing/2014/main" id="{00000000-0008-0000-0400-00000800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9" name="Check Box 93" hidden="1">
          <a:extLst>
            <a:ext uri="{63B3BB69-23CF-44E3-9099-C40C66FF867C}">
              <a14:compatExt xmlns:a14="http://schemas.microsoft.com/office/drawing/2010/main" spid="_x0000_s5213"/>
            </a:ext>
            <a:ext uri="{FF2B5EF4-FFF2-40B4-BE49-F238E27FC236}">
              <a16:creationId xmlns:a16="http://schemas.microsoft.com/office/drawing/2014/main" id="{00000000-0008-0000-0400-00000900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0" name="Check Box 94" hidden="1">
          <a:extLst>
            <a:ext uri="{63B3BB69-23CF-44E3-9099-C40C66FF867C}">
              <a14:compatExt xmlns:a14="http://schemas.microsoft.com/office/drawing/2010/main" spid="_x0000_s5214"/>
            </a:ext>
            <a:ext uri="{FF2B5EF4-FFF2-40B4-BE49-F238E27FC236}">
              <a16:creationId xmlns:a16="http://schemas.microsoft.com/office/drawing/2014/main" id="{00000000-0008-0000-0400-00000A00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1" name="Check Box 95" hidden="1">
          <a:extLst>
            <a:ext uri="{63B3BB69-23CF-44E3-9099-C40C66FF867C}">
              <a14:compatExt xmlns:a14="http://schemas.microsoft.com/office/drawing/2010/main" spid="_x0000_s5215"/>
            </a:ext>
            <a:ext uri="{FF2B5EF4-FFF2-40B4-BE49-F238E27FC236}">
              <a16:creationId xmlns:a16="http://schemas.microsoft.com/office/drawing/2014/main" id="{00000000-0008-0000-0400-00000B00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2"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400-00000C00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3"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400-00000D00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400-00000E00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5"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400-00000F00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6"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400-00001000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7"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400-00001100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8"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400-00001200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9"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400-000013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20"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400-000014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21"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400-000015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22"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400-000016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23"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400-000017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24"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400-00001800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25"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400-000019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26"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400-00001A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27"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400-00001B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28"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400-00001C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29"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400-00001D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123825</xdr:colOff>
      <xdr:row>0</xdr:row>
      <xdr:rowOff>85726</xdr:rowOff>
    </xdr:from>
    <xdr:ext cx="0" cy="730672"/>
    <xdr:pic>
      <xdr:nvPicPr>
        <xdr:cNvPr id="30" name="Imagen 29">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1" name="Imagen 30">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32" name="Imagen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xdr:oneCellAnchor>
    <xdr:from>
      <xdr:col>6</xdr:col>
      <xdr:colOff>1009650</xdr:colOff>
      <xdr:row>16</xdr:row>
      <xdr:rowOff>0</xdr:rowOff>
    </xdr:from>
    <xdr:ext cx="333375" cy="342900"/>
    <xdr:sp macro="" textlink="">
      <xdr:nvSpPr>
        <xdr:cNvPr id="33"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400-000021000000}"/>
            </a:ext>
          </a:extLst>
        </xdr:cNvPr>
        <xdr:cNvSpPr/>
      </xdr:nvSpPr>
      <xdr:spPr bwMode="auto">
        <a:xfrm>
          <a:off x="13224510" y="52273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16</xdr:row>
      <xdr:rowOff>180975</xdr:rowOff>
    </xdr:from>
    <xdr:ext cx="342900" cy="342900"/>
    <xdr:sp macro="" textlink="">
      <xdr:nvSpPr>
        <xdr:cNvPr id="34"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400-000022000000}"/>
            </a:ext>
          </a:extLst>
        </xdr:cNvPr>
        <xdr:cNvSpPr/>
      </xdr:nvSpPr>
      <xdr:spPr bwMode="auto">
        <a:xfrm>
          <a:off x="13205460" y="540829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17</xdr:row>
      <xdr:rowOff>247650</xdr:rowOff>
    </xdr:from>
    <xdr:ext cx="342900" cy="342900"/>
    <xdr:sp macro="" textlink="">
      <xdr:nvSpPr>
        <xdr:cNvPr id="35"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400-000023000000}"/>
            </a:ext>
          </a:extLst>
        </xdr:cNvPr>
        <xdr:cNvSpPr/>
      </xdr:nvSpPr>
      <xdr:spPr bwMode="auto">
        <a:xfrm>
          <a:off x="13205460" y="67170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18</xdr:row>
      <xdr:rowOff>238125</xdr:rowOff>
    </xdr:from>
    <xdr:ext cx="342900" cy="342900"/>
    <xdr:sp macro="" textlink="">
      <xdr:nvSpPr>
        <xdr:cNvPr id="36"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400-000024000000}"/>
            </a:ext>
          </a:extLst>
        </xdr:cNvPr>
        <xdr:cNvSpPr/>
      </xdr:nvSpPr>
      <xdr:spPr bwMode="auto">
        <a:xfrm>
          <a:off x="13205460" y="794956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19</xdr:row>
      <xdr:rowOff>219075</xdr:rowOff>
    </xdr:from>
    <xdr:ext cx="342900" cy="342900"/>
    <xdr:sp macro="" textlink="">
      <xdr:nvSpPr>
        <xdr:cNvPr id="37"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400-000025000000}"/>
            </a:ext>
          </a:extLst>
        </xdr:cNvPr>
        <xdr:cNvSpPr/>
      </xdr:nvSpPr>
      <xdr:spPr bwMode="auto">
        <a:xfrm>
          <a:off x="13205460" y="917257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3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400-000026000000}"/>
            </a:ext>
          </a:extLst>
        </xdr:cNvPr>
        <xdr:cNvSpPr/>
      </xdr:nvSpPr>
      <xdr:spPr bwMode="auto">
        <a:xfrm>
          <a:off x="13205460" y="104394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40</xdr:row>
      <xdr:rowOff>0</xdr:rowOff>
    </xdr:from>
    <xdr:ext cx="333375" cy="342900"/>
    <xdr:sp macro="" textlink="">
      <xdr:nvSpPr>
        <xdr:cNvPr id="39"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400-000027000000}"/>
            </a:ext>
          </a:extLst>
        </xdr:cNvPr>
        <xdr:cNvSpPr/>
      </xdr:nvSpPr>
      <xdr:spPr bwMode="auto">
        <a:xfrm>
          <a:off x="13214985" y="3017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40</xdr:row>
      <xdr:rowOff>190500</xdr:rowOff>
    </xdr:from>
    <xdr:ext cx="342900" cy="342900"/>
    <xdr:sp macro="" textlink="">
      <xdr:nvSpPr>
        <xdr:cNvPr id="40"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400-000028000000}"/>
            </a:ext>
          </a:extLst>
        </xdr:cNvPr>
        <xdr:cNvSpPr/>
      </xdr:nvSpPr>
      <xdr:spPr bwMode="auto">
        <a:xfrm>
          <a:off x="13205460" y="303657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41</xdr:row>
      <xdr:rowOff>247650</xdr:rowOff>
    </xdr:from>
    <xdr:ext cx="342900" cy="342900"/>
    <xdr:sp macro="" textlink="">
      <xdr:nvSpPr>
        <xdr:cNvPr id="41"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400-000029000000}"/>
            </a:ext>
          </a:extLst>
        </xdr:cNvPr>
        <xdr:cNvSpPr/>
      </xdr:nvSpPr>
      <xdr:spPr bwMode="auto">
        <a:xfrm>
          <a:off x="13205460" y="3166491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42</xdr:row>
      <xdr:rowOff>247650</xdr:rowOff>
    </xdr:from>
    <xdr:ext cx="342900" cy="342900"/>
    <xdr:sp macro="" textlink="">
      <xdr:nvSpPr>
        <xdr:cNvPr id="42"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400-00002A000000}"/>
            </a:ext>
          </a:extLst>
        </xdr:cNvPr>
        <xdr:cNvSpPr/>
      </xdr:nvSpPr>
      <xdr:spPr bwMode="auto">
        <a:xfrm>
          <a:off x="13205460" y="329069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43</xdr:row>
      <xdr:rowOff>247650</xdr:rowOff>
    </xdr:from>
    <xdr:ext cx="342900" cy="342900"/>
    <xdr:sp macro="" textlink="">
      <xdr:nvSpPr>
        <xdr:cNvPr id="43"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400-00002B000000}"/>
            </a:ext>
          </a:extLst>
        </xdr:cNvPr>
        <xdr:cNvSpPr/>
      </xdr:nvSpPr>
      <xdr:spPr bwMode="auto">
        <a:xfrm>
          <a:off x="13205460" y="341490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44"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400-00002C000000}"/>
            </a:ext>
          </a:extLst>
        </xdr:cNvPr>
        <xdr:cNvSpPr/>
      </xdr:nvSpPr>
      <xdr:spPr bwMode="auto">
        <a:xfrm>
          <a:off x="13205460" y="351434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45"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400-00002D00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46"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400-00002E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47"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400-00002F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48"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400-000030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49"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400-000031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50"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400-000032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51"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400-00003300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52"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400-000034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53"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400-000035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54"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400-000036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55"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400-000037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56"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400-000038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57"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400-00003900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58"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400-00003A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59"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400-00003B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60"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400-00003C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61"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400-00003D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62"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400-00003E00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44</xdr:row>
      <xdr:rowOff>0</xdr:rowOff>
    </xdr:from>
    <xdr:ext cx="333375" cy="342900"/>
    <xdr:sp macro="" textlink="">
      <xdr:nvSpPr>
        <xdr:cNvPr id="63" name="Check Box 169" hidden="1">
          <a:extLst>
            <a:ext uri="{63B3BB69-23CF-44E3-9099-C40C66FF867C}">
              <a14:compatExt xmlns:a14="http://schemas.microsoft.com/office/drawing/2010/main" spid="_x0000_s5289"/>
            </a:ext>
            <a:ext uri="{FF2B5EF4-FFF2-40B4-BE49-F238E27FC236}">
              <a16:creationId xmlns:a16="http://schemas.microsoft.com/office/drawing/2014/main" id="{00000000-0008-0000-0400-00003F000000}"/>
            </a:ext>
          </a:extLst>
        </xdr:cNvPr>
        <xdr:cNvSpPr/>
      </xdr:nvSpPr>
      <xdr:spPr bwMode="auto">
        <a:xfrm>
          <a:off x="13224510"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36" name="Check Box 170" hidden="1">
          <a:extLst>
            <a:ext uri="{63B3BB69-23CF-44E3-9099-C40C66FF867C}">
              <a14:compatExt xmlns:a14="http://schemas.microsoft.com/office/drawing/2010/main" spid="_x0000_s5290"/>
            </a:ext>
            <a:ext uri="{FF2B5EF4-FFF2-40B4-BE49-F238E27FC236}">
              <a16:creationId xmlns:a16="http://schemas.microsoft.com/office/drawing/2014/main" id="{00000000-0008-0000-0400-000000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45" name="Check Box 171" hidden="1">
          <a:extLst>
            <a:ext uri="{63B3BB69-23CF-44E3-9099-C40C66FF867C}">
              <a14:compatExt xmlns:a14="http://schemas.microsoft.com/office/drawing/2010/main" spid="_x0000_s5291"/>
            </a:ext>
            <a:ext uri="{FF2B5EF4-FFF2-40B4-BE49-F238E27FC236}">
              <a16:creationId xmlns:a16="http://schemas.microsoft.com/office/drawing/2014/main" id="{00000000-0008-0000-0400-000009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46" name="Check Box 172" hidden="1">
          <a:extLst>
            <a:ext uri="{63B3BB69-23CF-44E3-9099-C40C66FF867C}">
              <a14:compatExt xmlns:a14="http://schemas.microsoft.com/office/drawing/2010/main" spid="_x0000_s5292"/>
            </a:ext>
            <a:ext uri="{FF2B5EF4-FFF2-40B4-BE49-F238E27FC236}">
              <a16:creationId xmlns:a16="http://schemas.microsoft.com/office/drawing/2014/main" id="{00000000-0008-0000-0400-00000A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47" name="Check Box 173" hidden="1">
          <a:extLst>
            <a:ext uri="{63B3BB69-23CF-44E3-9099-C40C66FF867C}">
              <a14:compatExt xmlns:a14="http://schemas.microsoft.com/office/drawing/2010/main" spid="_x0000_s5293"/>
            </a:ext>
            <a:ext uri="{FF2B5EF4-FFF2-40B4-BE49-F238E27FC236}">
              <a16:creationId xmlns:a16="http://schemas.microsoft.com/office/drawing/2014/main" id="{00000000-0008-0000-0400-00000B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48" name="Check Box 174" hidden="1">
          <a:extLst>
            <a:ext uri="{63B3BB69-23CF-44E3-9099-C40C66FF867C}">
              <a14:compatExt xmlns:a14="http://schemas.microsoft.com/office/drawing/2010/main" spid="_x0000_s5294"/>
            </a:ext>
            <a:ext uri="{FF2B5EF4-FFF2-40B4-BE49-F238E27FC236}">
              <a16:creationId xmlns:a16="http://schemas.microsoft.com/office/drawing/2014/main" id="{00000000-0008-0000-0400-00000C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349" name="Check Box 175" hidden="1">
          <a:extLst>
            <a:ext uri="{63B3BB69-23CF-44E3-9099-C40C66FF867C}">
              <a14:compatExt xmlns:a14="http://schemas.microsoft.com/office/drawing/2010/main" spid="_x0000_s5295"/>
            </a:ext>
            <a:ext uri="{FF2B5EF4-FFF2-40B4-BE49-F238E27FC236}">
              <a16:creationId xmlns:a16="http://schemas.microsoft.com/office/drawing/2014/main" id="{00000000-0008-0000-0400-00000D38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50" name="Check Box 176" hidden="1">
          <a:extLst>
            <a:ext uri="{63B3BB69-23CF-44E3-9099-C40C66FF867C}">
              <a14:compatExt xmlns:a14="http://schemas.microsoft.com/office/drawing/2010/main" spid="_x0000_s5296"/>
            </a:ext>
            <a:ext uri="{FF2B5EF4-FFF2-40B4-BE49-F238E27FC236}">
              <a16:creationId xmlns:a16="http://schemas.microsoft.com/office/drawing/2014/main" id="{00000000-0008-0000-0400-00000E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51" name="Check Box 177" hidden="1">
          <a:extLst>
            <a:ext uri="{63B3BB69-23CF-44E3-9099-C40C66FF867C}">
              <a14:compatExt xmlns:a14="http://schemas.microsoft.com/office/drawing/2010/main" spid="_x0000_s5297"/>
            </a:ext>
            <a:ext uri="{FF2B5EF4-FFF2-40B4-BE49-F238E27FC236}">
              <a16:creationId xmlns:a16="http://schemas.microsoft.com/office/drawing/2014/main" id="{00000000-0008-0000-0400-00000F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52" name="Check Box 178" hidden="1">
          <a:extLst>
            <a:ext uri="{63B3BB69-23CF-44E3-9099-C40C66FF867C}">
              <a14:compatExt xmlns:a14="http://schemas.microsoft.com/office/drawing/2010/main" spid="_x0000_s5298"/>
            </a:ext>
            <a:ext uri="{FF2B5EF4-FFF2-40B4-BE49-F238E27FC236}">
              <a16:creationId xmlns:a16="http://schemas.microsoft.com/office/drawing/2014/main" id="{00000000-0008-0000-0400-000010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53" name="Check Box 179" hidden="1">
          <a:extLst>
            <a:ext uri="{63B3BB69-23CF-44E3-9099-C40C66FF867C}">
              <a14:compatExt xmlns:a14="http://schemas.microsoft.com/office/drawing/2010/main" spid="_x0000_s5299"/>
            </a:ext>
            <a:ext uri="{FF2B5EF4-FFF2-40B4-BE49-F238E27FC236}">
              <a16:creationId xmlns:a16="http://schemas.microsoft.com/office/drawing/2014/main" id="{00000000-0008-0000-0400-000011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54" name="Check Box 180" hidden="1">
          <a:extLst>
            <a:ext uri="{63B3BB69-23CF-44E3-9099-C40C66FF867C}">
              <a14:compatExt xmlns:a14="http://schemas.microsoft.com/office/drawing/2010/main" spid="_x0000_s5300"/>
            </a:ext>
            <a:ext uri="{FF2B5EF4-FFF2-40B4-BE49-F238E27FC236}">
              <a16:creationId xmlns:a16="http://schemas.microsoft.com/office/drawing/2014/main" id="{00000000-0008-0000-0400-000012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355" name="Check Box 181" hidden="1">
          <a:extLst>
            <a:ext uri="{63B3BB69-23CF-44E3-9099-C40C66FF867C}">
              <a14:compatExt xmlns:a14="http://schemas.microsoft.com/office/drawing/2010/main" spid="_x0000_s5301"/>
            </a:ext>
            <a:ext uri="{FF2B5EF4-FFF2-40B4-BE49-F238E27FC236}">
              <a16:creationId xmlns:a16="http://schemas.microsoft.com/office/drawing/2014/main" id="{00000000-0008-0000-0400-000013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56" name="Check Box 182" hidden="1">
          <a:extLst>
            <a:ext uri="{63B3BB69-23CF-44E3-9099-C40C66FF867C}">
              <a14:compatExt xmlns:a14="http://schemas.microsoft.com/office/drawing/2010/main" spid="_x0000_s5302"/>
            </a:ext>
            <a:ext uri="{FF2B5EF4-FFF2-40B4-BE49-F238E27FC236}">
              <a16:creationId xmlns:a16="http://schemas.microsoft.com/office/drawing/2014/main" id="{00000000-0008-0000-0400-000014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57" name="Check Box 183" hidden="1">
          <a:extLst>
            <a:ext uri="{63B3BB69-23CF-44E3-9099-C40C66FF867C}">
              <a14:compatExt xmlns:a14="http://schemas.microsoft.com/office/drawing/2010/main" spid="_x0000_s5303"/>
            </a:ext>
            <a:ext uri="{FF2B5EF4-FFF2-40B4-BE49-F238E27FC236}">
              <a16:creationId xmlns:a16="http://schemas.microsoft.com/office/drawing/2014/main" id="{00000000-0008-0000-0400-000015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58" name="Check Box 184" hidden="1">
          <a:extLst>
            <a:ext uri="{63B3BB69-23CF-44E3-9099-C40C66FF867C}">
              <a14:compatExt xmlns:a14="http://schemas.microsoft.com/office/drawing/2010/main" spid="_x0000_s5304"/>
            </a:ext>
            <a:ext uri="{FF2B5EF4-FFF2-40B4-BE49-F238E27FC236}">
              <a16:creationId xmlns:a16="http://schemas.microsoft.com/office/drawing/2014/main" id="{00000000-0008-0000-0400-000016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59" name="Check Box 185" hidden="1">
          <a:extLst>
            <a:ext uri="{63B3BB69-23CF-44E3-9099-C40C66FF867C}">
              <a14:compatExt xmlns:a14="http://schemas.microsoft.com/office/drawing/2010/main" spid="_x0000_s5305"/>
            </a:ext>
            <a:ext uri="{FF2B5EF4-FFF2-40B4-BE49-F238E27FC236}">
              <a16:creationId xmlns:a16="http://schemas.microsoft.com/office/drawing/2014/main" id="{00000000-0008-0000-0400-000017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60" name="Check Box 186" hidden="1">
          <a:extLst>
            <a:ext uri="{63B3BB69-23CF-44E3-9099-C40C66FF867C}">
              <a14:compatExt xmlns:a14="http://schemas.microsoft.com/office/drawing/2010/main" spid="_x0000_s5306"/>
            </a:ext>
            <a:ext uri="{FF2B5EF4-FFF2-40B4-BE49-F238E27FC236}">
              <a16:creationId xmlns:a16="http://schemas.microsoft.com/office/drawing/2014/main" id="{00000000-0008-0000-0400-000018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361" name="Check Box 187" hidden="1">
          <a:extLst>
            <a:ext uri="{63B3BB69-23CF-44E3-9099-C40C66FF867C}">
              <a14:compatExt xmlns:a14="http://schemas.microsoft.com/office/drawing/2010/main" spid="_x0000_s5307"/>
            </a:ext>
            <a:ext uri="{FF2B5EF4-FFF2-40B4-BE49-F238E27FC236}">
              <a16:creationId xmlns:a16="http://schemas.microsoft.com/office/drawing/2014/main" id="{00000000-0008-0000-0400-000019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62" name="Check Box 188" hidden="1">
          <a:extLst>
            <a:ext uri="{63B3BB69-23CF-44E3-9099-C40C66FF867C}">
              <a14:compatExt xmlns:a14="http://schemas.microsoft.com/office/drawing/2010/main" spid="_x0000_s5308"/>
            </a:ext>
            <a:ext uri="{FF2B5EF4-FFF2-40B4-BE49-F238E27FC236}">
              <a16:creationId xmlns:a16="http://schemas.microsoft.com/office/drawing/2014/main" id="{00000000-0008-0000-0400-00001A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63" name="Check Box 189" hidden="1">
          <a:extLst>
            <a:ext uri="{63B3BB69-23CF-44E3-9099-C40C66FF867C}">
              <a14:compatExt xmlns:a14="http://schemas.microsoft.com/office/drawing/2010/main" spid="_x0000_s5309"/>
            </a:ext>
            <a:ext uri="{FF2B5EF4-FFF2-40B4-BE49-F238E27FC236}">
              <a16:creationId xmlns:a16="http://schemas.microsoft.com/office/drawing/2014/main" id="{00000000-0008-0000-0400-00001B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64" name="Check Box 190" hidden="1">
          <a:extLst>
            <a:ext uri="{63B3BB69-23CF-44E3-9099-C40C66FF867C}">
              <a14:compatExt xmlns:a14="http://schemas.microsoft.com/office/drawing/2010/main" spid="_x0000_s5310"/>
            </a:ext>
            <a:ext uri="{FF2B5EF4-FFF2-40B4-BE49-F238E27FC236}">
              <a16:creationId xmlns:a16="http://schemas.microsoft.com/office/drawing/2014/main" id="{00000000-0008-0000-0400-00001C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65" name="Check Box 191" hidden="1">
          <a:extLst>
            <a:ext uri="{63B3BB69-23CF-44E3-9099-C40C66FF867C}">
              <a14:compatExt xmlns:a14="http://schemas.microsoft.com/office/drawing/2010/main" spid="_x0000_s5311"/>
            </a:ext>
            <a:ext uri="{FF2B5EF4-FFF2-40B4-BE49-F238E27FC236}">
              <a16:creationId xmlns:a16="http://schemas.microsoft.com/office/drawing/2014/main" id="{00000000-0008-0000-0400-00001D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66" name="Check Box 192" hidden="1">
          <a:extLst>
            <a:ext uri="{63B3BB69-23CF-44E3-9099-C40C66FF867C}">
              <a14:compatExt xmlns:a14="http://schemas.microsoft.com/office/drawing/2010/main" spid="_x0000_s5312"/>
            </a:ext>
            <a:ext uri="{FF2B5EF4-FFF2-40B4-BE49-F238E27FC236}">
              <a16:creationId xmlns:a16="http://schemas.microsoft.com/office/drawing/2014/main" id="{00000000-0008-0000-0400-00001E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367" name="Check Box 193" hidden="1">
          <a:extLst>
            <a:ext uri="{63B3BB69-23CF-44E3-9099-C40C66FF867C}">
              <a14:compatExt xmlns:a14="http://schemas.microsoft.com/office/drawing/2010/main" spid="_x0000_s5313"/>
            </a:ext>
            <a:ext uri="{FF2B5EF4-FFF2-40B4-BE49-F238E27FC236}">
              <a16:creationId xmlns:a16="http://schemas.microsoft.com/office/drawing/2014/main" id="{00000000-0008-0000-0400-00001F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68" name="Check Box 194" hidden="1">
          <a:extLst>
            <a:ext uri="{63B3BB69-23CF-44E3-9099-C40C66FF867C}">
              <a14:compatExt xmlns:a14="http://schemas.microsoft.com/office/drawing/2010/main" spid="_x0000_s5314"/>
            </a:ext>
            <a:ext uri="{FF2B5EF4-FFF2-40B4-BE49-F238E27FC236}">
              <a16:creationId xmlns:a16="http://schemas.microsoft.com/office/drawing/2014/main" id="{00000000-0008-0000-0400-000020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69" name="Check Box 195" hidden="1">
          <a:extLst>
            <a:ext uri="{63B3BB69-23CF-44E3-9099-C40C66FF867C}">
              <a14:compatExt xmlns:a14="http://schemas.microsoft.com/office/drawing/2010/main" spid="_x0000_s5315"/>
            </a:ext>
            <a:ext uri="{FF2B5EF4-FFF2-40B4-BE49-F238E27FC236}">
              <a16:creationId xmlns:a16="http://schemas.microsoft.com/office/drawing/2014/main" id="{00000000-0008-0000-0400-000021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70" name="Check Box 196" hidden="1">
          <a:extLst>
            <a:ext uri="{63B3BB69-23CF-44E3-9099-C40C66FF867C}">
              <a14:compatExt xmlns:a14="http://schemas.microsoft.com/office/drawing/2010/main" spid="_x0000_s5316"/>
            </a:ext>
            <a:ext uri="{FF2B5EF4-FFF2-40B4-BE49-F238E27FC236}">
              <a16:creationId xmlns:a16="http://schemas.microsoft.com/office/drawing/2014/main" id="{00000000-0008-0000-0400-000022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71" name="Check Box 197" hidden="1">
          <a:extLst>
            <a:ext uri="{63B3BB69-23CF-44E3-9099-C40C66FF867C}">
              <a14:compatExt xmlns:a14="http://schemas.microsoft.com/office/drawing/2010/main" spid="_x0000_s5317"/>
            </a:ext>
            <a:ext uri="{FF2B5EF4-FFF2-40B4-BE49-F238E27FC236}">
              <a16:creationId xmlns:a16="http://schemas.microsoft.com/office/drawing/2014/main" id="{00000000-0008-0000-0400-000023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44</xdr:row>
      <xdr:rowOff>0</xdr:rowOff>
    </xdr:from>
    <xdr:ext cx="333375" cy="342900"/>
    <xdr:sp macro="" textlink="">
      <xdr:nvSpPr>
        <xdr:cNvPr id="14372" name="Check Box 198" hidden="1">
          <a:extLst>
            <a:ext uri="{63B3BB69-23CF-44E3-9099-C40C66FF867C}">
              <a14:compatExt xmlns:a14="http://schemas.microsoft.com/office/drawing/2010/main" spid="_x0000_s5318"/>
            </a:ext>
            <a:ext uri="{FF2B5EF4-FFF2-40B4-BE49-F238E27FC236}">
              <a16:creationId xmlns:a16="http://schemas.microsoft.com/office/drawing/2014/main" id="{00000000-0008-0000-0400-000024380000}"/>
            </a:ext>
          </a:extLst>
        </xdr:cNvPr>
        <xdr:cNvSpPr/>
      </xdr:nvSpPr>
      <xdr:spPr bwMode="auto">
        <a:xfrm>
          <a:off x="13224510"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73" name="Check Box 199" hidden="1">
          <a:extLst>
            <a:ext uri="{63B3BB69-23CF-44E3-9099-C40C66FF867C}">
              <a14:compatExt xmlns:a14="http://schemas.microsoft.com/office/drawing/2010/main" spid="_x0000_s5319"/>
            </a:ext>
            <a:ext uri="{FF2B5EF4-FFF2-40B4-BE49-F238E27FC236}">
              <a16:creationId xmlns:a16="http://schemas.microsoft.com/office/drawing/2014/main" id="{00000000-0008-0000-0400-000025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74" name="Check Box 200" hidden="1">
          <a:extLst>
            <a:ext uri="{63B3BB69-23CF-44E3-9099-C40C66FF867C}">
              <a14:compatExt xmlns:a14="http://schemas.microsoft.com/office/drawing/2010/main" spid="_x0000_s5320"/>
            </a:ext>
            <a:ext uri="{FF2B5EF4-FFF2-40B4-BE49-F238E27FC236}">
              <a16:creationId xmlns:a16="http://schemas.microsoft.com/office/drawing/2014/main" id="{00000000-0008-0000-0400-000026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75" name="Check Box 201" hidden="1">
          <a:extLst>
            <a:ext uri="{63B3BB69-23CF-44E3-9099-C40C66FF867C}">
              <a14:compatExt xmlns:a14="http://schemas.microsoft.com/office/drawing/2010/main" spid="_x0000_s5321"/>
            </a:ext>
            <a:ext uri="{FF2B5EF4-FFF2-40B4-BE49-F238E27FC236}">
              <a16:creationId xmlns:a16="http://schemas.microsoft.com/office/drawing/2014/main" id="{00000000-0008-0000-0400-000027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76" name="Check Box 202" hidden="1">
          <a:extLst>
            <a:ext uri="{63B3BB69-23CF-44E3-9099-C40C66FF867C}">
              <a14:compatExt xmlns:a14="http://schemas.microsoft.com/office/drawing/2010/main" spid="_x0000_s5322"/>
            </a:ext>
            <a:ext uri="{FF2B5EF4-FFF2-40B4-BE49-F238E27FC236}">
              <a16:creationId xmlns:a16="http://schemas.microsoft.com/office/drawing/2014/main" id="{00000000-0008-0000-0400-000028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77" name="Check Box 203" hidden="1">
          <a:extLst>
            <a:ext uri="{63B3BB69-23CF-44E3-9099-C40C66FF867C}">
              <a14:compatExt xmlns:a14="http://schemas.microsoft.com/office/drawing/2010/main" spid="_x0000_s5323"/>
            </a:ext>
            <a:ext uri="{FF2B5EF4-FFF2-40B4-BE49-F238E27FC236}">
              <a16:creationId xmlns:a16="http://schemas.microsoft.com/office/drawing/2014/main" id="{00000000-0008-0000-0400-000029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378"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400-00002A38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79"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400-00002B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80"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400-00002C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81"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400-00002D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82"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400-00002E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383"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400-00002F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384"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400-000030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85"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400-000031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86"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400-000032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87"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400-000033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88"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400-000034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89"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400-000035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390"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400-000036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91"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400-000037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92"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400-000038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93"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400-000039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94"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400-00003A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95" name="Check Box 221" hidden="1">
          <a:extLst>
            <a:ext uri="{63B3BB69-23CF-44E3-9099-C40C66FF867C}">
              <a14:compatExt xmlns:a14="http://schemas.microsoft.com/office/drawing/2010/main" spid="_x0000_s5341"/>
            </a:ext>
            <a:ext uri="{FF2B5EF4-FFF2-40B4-BE49-F238E27FC236}">
              <a16:creationId xmlns:a16="http://schemas.microsoft.com/office/drawing/2014/main" id="{00000000-0008-0000-0400-00003B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396"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400-00003C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44</xdr:row>
      <xdr:rowOff>0</xdr:rowOff>
    </xdr:from>
    <xdr:ext cx="333375" cy="1383030"/>
    <xdr:sp macro="" textlink="">
      <xdr:nvSpPr>
        <xdr:cNvPr id="14397"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400-00003D380000}"/>
            </a:ext>
          </a:extLst>
        </xdr:cNvPr>
        <xdr:cNvSpPr/>
      </xdr:nvSpPr>
      <xdr:spPr bwMode="auto">
        <a:xfrm>
          <a:off x="13224510" y="41605200"/>
          <a:ext cx="333375"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383030"/>
    <xdr:sp macro="" textlink="">
      <xdr:nvSpPr>
        <xdr:cNvPr id="14398"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400-00003E380000}"/>
            </a:ext>
          </a:extLst>
        </xdr:cNvPr>
        <xdr:cNvSpPr/>
      </xdr:nvSpPr>
      <xdr:spPr bwMode="auto">
        <a:xfrm>
          <a:off x="13205460" y="41605200"/>
          <a:ext cx="342900"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316355"/>
    <xdr:sp macro="" textlink="">
      <xdr:nvSpPr>
        <xdr:cNvPr id="14399"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400-00003F380000}"/>
            </a:ext>
          </a:extLst>
        </xdr:cNvPr>
        <xdr:cNvSpPr/>
      </xdr:nvSpPr>
      <xdr:spPr bwMode="auto">
        <a:xfrm>
          <a:off x="13205460" y="41605200"/>
          <a:ext cx="342900" cy="13163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325880"/>
    <xdr:sp macro="" textlink="">
      <xdr:nvSpPr>
        <xdr:cNvPr id="14400"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400-000040380000}"/>
            </a:ext>
          </a:extLst>
        </xdr:cNvPr>
        <xdr:cNvSpPr/>
      </xdr:nvSpPr>
      <xdr:spPr bwMode="auto">
        <a:xfrm>
          <a:off x="13205460" y="41605200"/>
          <a:ext cx="342900" cy="1325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344930"/>
    <xdr:sp macro="" textlink="">
      <xdr:nvSpPr>
        <xdr:cNvPr id="14401"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400-000041380000}"/>
            </a:ext>
          </a:extLst>
        </xdr:cNvPr>
        <xdr:cNvSpPr/>
      </xdr:nvSpPr>
      <xdr:spPr bwMode="auto">
        <a:xfrm>
          <a:off x="13205460" y="41605200"/>
          <a:ext cx="342900" cy="13449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2247900"/>
    <xdr:sp macro="" textlink="">
      <xdr:nvSpPr>
        <xdr:cNvPr id="14402" name="Check Box 228" hidden="1">
          <a:extLst>
            <a:ext uri="{63B3BB69-23CF-44E3-9099-C40C66FF867C}">
              <a14:compatExt xmlns:a14="http://schemas.microsoft.com/office/drawing/2010/main" spid="_x0000_s5348"/>
            </a:ext>
            <a:ext uri="{FF2B5EF4-FFF2-40B4-BE49-F238E27FC236}">
              <a16:creationId xmlns:a16="http://schemas.microsoft.com/office/drawing/2014/main" id="{00000000-0008-0000-0400-000042380000}"/>
            </a:ext>
          </a:extLst>
        </xdr:cNvPr>
        <xdr:cNvSpPr/>
      </xdr:nvSpPr>
      <xdr:spPr bwMode="auto">
        <a:xfrm>
          <a:off x="13205460" y="41605200"/>
          <a:ext cx="342900" cy="2247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1611630"/>
    <xdr:sp macro="" textlink="">
      <xdr:nvSpPr>
        <xdr:cNvPr id="14403"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400-000043380000}"/>
            </a:ext>
          </a:extLst>
        </xdr:cNvPr>
        <xdr:cNvSpPr/>
      </xdr:nvSpPr>
      <xdr:spPr bwMode="auto">
        <a:xfrm>
          <a:off x="13214985" y="41605200"/>
          <a:ext cx="333375" cy="1611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602105"/>
    <xdr:sp macro="" textlink="">
      <xdr:nvSpPr>
        <xdr:cNvPr id="14404"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400-000044380000}"/>
            </a:ext>
          </a:extLst>
        </xdr:cNvPr>
        <xdr:cNvSpPr/>
      </xdr:nvSpPr>
      <xdr:spPr bwMode="auto">
        <a:xfrm>
          <a:off x="13205460" y="41605200"/>
          <a:ext cx="342900" cy="16021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544955"/>
    <xdr:sp macro="" textlink="">
      <xdr:nvSpPr>
        <xdr:cNvPr id="14405"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400-000045380000}"/>
            </a:ext>
          </a:extLst>
        </xdr:cNvPr>
        <xdr:cNvSpPr/>
      </xdr:nvSpPr>
      <xdr:spPr bwMode="auto">
        <a:xfrm>
          <a:off x="13205460" y="4160520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544955"/>
    <xdr:sp macro="" textlink="">
      <xdr:nvSpPr>
        <xdr:cNvPr id="14406"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400-000046380000}"/>
            </a:ext>
          </a:extLst>
        </xdr:cNvPr>
        <xdr:cNvSpPr/>
      </xdr:nvSpPr>
      <xdr:spPr bwMode="auto">
        <a:xfrm>
          <a:off x="13205460" y="4160520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544955"/>
    <xdr:sp macro="" textlink="">
      <xdr:nvSpPr>
        <xdr:cNvPr id="14407"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400-000047380000}"/>
            </a:ext>
          </a:extLst>
        </xdr:cNvPr>
        <xdr:cNvSpPr/>
      </xdr:nvSpPr>
      <xdr:spPr bwMode="auto">
        <a:xfrm>
          <a:off x="13205460" y="4160520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2472690"/>
    <xdr:sp macro="" textlink="">
      <xdr:nvSpPr>
        <xdr:cNvPr id="14408" name="Check Box 234" hidden="1">
          <a:extLst>
            <a:ext uri="{63B3BB69-23CF-44E3-9099-C40C66FF867C}">
              <a14:compatExt xmlns:a14="http://schemas.microsoft.com/office/drawing/2010/main" spid="_x0000_s5354"/>
            </a:ext>
            <a:ext uri="{FF2B5EF4-FFF2-40B4-BE49-F238E27FC236}">
              <a16:creationId xmlns:a16="http://schemas.microsoft.com/office/drawing/2014/main" id="{00000000-0008-0000-0400-000048380000}"/>
            </a:ext>
          </a:extLst>
        </xdr:cNvPr>
        <xdr:cNvSpPr/>
      </xdr:nvSpPr>
      <xdr:spPr bwMode="auto">
        <a:xfrm>
          <a:off x="13205460" y="41605200"/>
          <a:ext cx="342900" cy="24726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1535430"/>
    <xdr:sp macro="" textlink="">
      <xdr:nvSpPr>
        <xdr:cNvPr id="14409" name="Check Box 235" hidden="1">
          <a:extLst>
            <a:ext uri="{63B3BB69-23CF-44E3-9099-C40C66FF867C}">
              <a14:compatExt xmlns:a14="http://schemas.microsoft.com/office/drawing/2010/main" spid="_x0000_s5355"/>
            </a:ext>
            <a:ext uri="{FF2B5EF4-FFF2-40B4-BE49-F238E27FC236}">
              <a16:creationId xmlns:a16="http://schemas.microsoft.com/office/drawing/2014/main" id="{00000000-0008-0000-0400-000049380000}"/>
            </a:ext>
          </a:extLst>
        </xdr:cNvPr>
        <xdr:cNvSpPr/>
      </xdr:nvSpPr>
      <xdr:spPr bwMode="auto">
        <a:xfrm>
          <a:off x="13176885" y="41605200"/>
          <a:ext cx="333375" cy="15354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1525905"/>
    <xdr:sp macro="" textlink="">
      <xdr:nvSpPr>
        <xdr:cNvPr id="14410" name="Check Box 236" hidden="1">
          <a:extLst>
            <a:ext uri="{63B3BB69-23CF-44E3-9099-C40C66FF867C}">
              <a14:compatExt xmlns:a14="http://schemas.microsoft.com/office/drawing/2010/main" spid="_x0000_s5356"/>
            </a:ext>
            <a:ext uri="{FF2B5EF4-FFF2-40B4-BE49-F238E27FC236}">
              <a16:creationId xmlns:a16="http://schemas.microsoft.com/office/drawing/2014/main" id="{00000000-0008-0000-0400-00004A380000}"/>
            </a:ext>
          </a:extLst>
        </xdr:cNvPr>
        <xdr:cNvSpPr/>
      </xdr:nvSpPr>
      <xdr:spPr bwMode="auto">
        <a:xfrm>
          <a:off x="13167360" y="41605200"/>
          <a:ext cx="342900" cy="15259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1478280"/>
    <xdr:sp macro="" textlink="">
      <xdr:nvSpPr>
        <xdr:cNvPr id="14411" name="Check Box 237" hidden="1">
          <a:extLst>
            <a:ext uri="{63B3BB69-23CF-44E3-9099-C40C66FF867C}">
              <a14:compatExt xmlns:a14="http://schemas.microsoft.com/office/drawing/2010/main" spid="_x0000_s5357"/>
            </a:ext>
            <a:ext uri="{FF2B5EF4-FFF2-40B4-BE49-F238E27FC236}">
              <a16:creationId xmlns:a16="http://schemas.microsoft.com/office/drawing/2014/main" id="{00000000-0008-0000-0400-00004B380000}"/>
            </a:ext>
          </a:extLst>
        </xdr:cNvPr>
        <xdr:cNvSpPr/>
      </xdr:nvSpPr>
      <xdr:spPr bwMode="auto">
        <a:xfrm>
          <a:off x="13167360" y="41605200"/>
          <a:ext cx="342900" cy="14782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1468755"/>
    <xdr:sp macro="" textlink="">
      <xdr:nvSpPr>
        <xdr:cNvPr id="14412" name="Check Box 238" hidden="1">
          <a:extLst>
            <a:ext uri="{63B3BB69-23CF-44E3-9099-C40C66FF867C}">
              <a14:compatExt xmlns:a14="http://schemas.microsoft.com/office/drawing/2010/main" spid="_x0000_s5358"/>
            </a:ext>
            <a:ext uri="{FF2B5EF4-FFF2-40B4-BE49-F238E27FC236}">
              <a16:creationId xmlns:a16="http://schemas.microsoft.com/office/drawing/2014/main" id="{00000000-0008-0000-0400-00004C380000}"/>
            </a:ext>
          </a:extLst>
        </xdr:cNvPr>
        <xdr:cNvSpPr/>
      </xdr:nvSpPr>
      <xdr:spPr bwMode="auto">
        <a:xfrm>
          <a:off x="13167360" y="4160520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1468755"/>
    <xdr:sp macro="" textlink="">
      <xdr:nvSpPr>
        <xdr:cNvPr id="14413" name="Check Box 239" hidden="1">
          <a:extLst>
            <a:ext uri="{63B3BB69-23CF-44E3-9099-C40C66FF867C}">
              <a14:compatExt xmlns:a14="http://schemas.microsoft.com/office/drawing/2010/main" spid="_x0000_s5359"/>
            </a:ext>
            <a:ext uri="{FF2B5EF4-FFF2-40B4-BE49-F238E27FC236}">
              <a16:creationId xmlns:a16="http://schemas.microsoft.com/office/drawing/2014/main" id="{00000000-0008-0000-0400-00004D380000}"/>
            </a:ext>
          </a:extLst>
        </xdr:cNvPr>
        <xdr:cNvSpPr/>
      </xdr:nvSpPr>
      <xdr:spPr bwMode="auto">
        <a:xfrm>
          <a:off x="13167360" y="4160520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414"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400-00004E38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15"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400-00004F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16"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400-000050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17"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400-000051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18"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400-000052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19"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400-000053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420"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400-00005438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21"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400-000055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22"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400-000056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23"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400-000057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24"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400-000058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25"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400-000059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426"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400-00005A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27"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400-00005B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28"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400-00005C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29"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400-00005D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30"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400-00005E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31"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400-00005F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432"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400-000060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33"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400-000061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34"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400-000062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35"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400-000063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36"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400-000064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37"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400-000065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438"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400-00006638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39"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400-000067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40"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400-000068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41"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400-000069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42"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400-00006A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43"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400-00006B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444"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400-00006C38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45"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400-00006D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46"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400-00006E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47"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400-00006F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48"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400-000070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49"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400-000071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450"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400-000072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51"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400-000073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52"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400-000074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53"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400-000075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54"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400-000076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55"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400-000077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456"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400-000078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57"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400-000079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58"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400-00007A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59"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400-00007B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60"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400-00007C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61"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400-00007D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462"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400-00007E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63"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400-00007F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64"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400-000080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65"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400-000081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66"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400-000082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67"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400-000083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468"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400-000084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69"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400-000085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70"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400-000086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71"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400-000087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72"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400-000088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73"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400-000089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474"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400-00008A38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75"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400-00008B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76"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400-00008C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77"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400-00008D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78"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400-00008E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79"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400-00008F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480"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400-00009038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81"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400-000091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82"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400-000092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83"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400-000093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84"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400-000094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485"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400-000095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44</xdr:row>
      <xdr:rowOff>0</xdr:rowOff>
    </xdr:from>
    <xdr:ext cx="333375" cy="1390650"/>
    <xdr:sp macro="" textlink="">
      <xdr:nvSpPr>
        <xdr:cNvPr id="14486"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400-000096380000}"/>
            </a:ext>
          </a:extLst>
        </xdr:cNvPr>
        <xdr:cNvSpPr/>
      </xdr:nvSpPr>
      <xdr:spPr bwMode="auto">
        <a:xfrm>
          <a:off x="13224510" y="4160520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390650"/>
    <xdr:sp macro="" textlink="">
      <xdr:nvSpPr>
        <xdr:cNvPr id="14487"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400-000097380000}"/>
            </a:ext>
          </a:extLst>
        </xdr:cNvPr>
        <xdr:cNvSpPr/>
      </xdr:nvSpPr>
      <xdr:spPr bwMode="auto">
        <a:xfrm>
          <a:off x="13205460" y="4160520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323975"/>
    <xdr:sp macro="" textlink="">
      <xdr:nvSpPr>
        <xdr:cNvPr id="14488"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400-000098380000}"/>
            </a:ext>
          </a:extLst>
        </xdr:cNvPr>
        <xdr:cNvSpPr/>
      </xdr:nvSpPr>
      <xdr:spPr bwMode="auto">
        <a:xfrm>
          <a:off x="13205460" y="4160520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333500"/>
    <xdr:sp macro="" textlink="">
      <xdr:nvSpPr>
        <xdr:cNvPr id="14489"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400-000099380000}"/>
            </a:ext>
          </a:extLst>
        </xdr:cNvPr>
        <xdr:cNvSpPr/>
      </xdr:nvSpPr>
      <xdr:spPr bwMode="auto">
        <a:xfrm>
          <a:off x="13205460" y="4160520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352550"/>
    <xdr:sp macro="" textlink="">
      <xdr:nvSpPr>
        <xdr:cNvPr id="14490"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400-00009A380000}"/>
            </a:ext>
          </a:extLst>
        </xdr:cNvPr>
        <xdr:cNvSpPr/>
      </xdr:nvSpPr>
      <xdr:spPr bwMode="auto">
        <a:xfrm>
          <a:off x="13205460" y="4160520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491"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400-00009B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92"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400-00009C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93"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400-00009D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94"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400-00009E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95"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400-00009F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96"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400-0000A0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497"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400-0000A1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98"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400-0000A2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499"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400-0000A3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00"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400-0000A4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01"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400-0000A5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02"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400-0000A6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503"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400-0000A7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04"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400-0000A8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05"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400-0000A9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06"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400-0000AA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07"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400-0000AB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08"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400-0000AC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509"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400-0000AD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10"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400-0000AE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11"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400-0000AF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12"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400-0000B0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13"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400-0000B1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14"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400-0000B2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515"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400-0000B338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16"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400-0000B4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17"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400-0000B5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18"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400-0000B6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19"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400-0000B7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20"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400-0000B8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521"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400-0000B938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22"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400-0000BA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23"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400-0000BB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24"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400-0000BC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25"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400-0000BD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26"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400-0000BE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1619250"/>
    <xdr:sp macro="" textlink="">
      <xdr:nvSpPr>
        <xdr:cNvPr id="14527"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400-0000BF380000}"/>
            </a:ext>
          </a:extLst>
        </xdr:cNvPr>
        <xdr:cNvSpPr/>
      </xdr:nvSpPr>
      <xdr:spPr bwMode="auto">
        <a:xfrm>
          <a:off x="13214985" y="41605200"/>
          <a:ext cx="333375" cy="1619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609725"/>
    <xdr:sp macro="" textlink="">
      <xdr:nvSpPr>
        <xdr:cNvPr id="14528"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400-0000C0380000}"/>
            </a:ext>
          </a:extLst>
        </xdr:cNvPr>
        <xdr:cNvSpPr/>
      </xdr:nvSpPr>
      <xdr:spPr bwMode="auto">
        <a:xfrm>
          <a:off x="13205460" y="41605200"/>
          <a:ext cx="342900" cy="16097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552575"/>
    <xdr:sp macro="" textlink="">
      <xdr:nvSpPr>
        <xdr:cNvPr id="14529"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400-0000C1380000}"/>
            </a:ext>
          </a:extLst>
        </xdr:cNvPr>
        <xdr:cNvSpPr/>
      </xdr:nvSpPr>
      <xdr:spPr bwMode="auto">
        <a:xfrm>
          <a:off x="13205460" y="4160520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552575"/>
    <xdr:sp macro="" textlink="">
      <xdr:nvSpPr>
        <xdr:cNvPr id="14530"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400-0000C2380000}"/>
            </a:ext>
          </a:extLst>
        </xdr:cNvPr>
        <xdr:cNvSpPr/>
      </xdr:nvSpPr>
      <xdr:spPr bwMode="auto">
        <a:xfrm>
          <a:off x="13205460" y="4160520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552575"/>
    <xdr:sp macro="" textlink="">
      <xdr:nvSpPr>
        <xdr:cNvPr id="14531"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400-0000C3380000}"/>
            </a:ext>
          </a:extLst>
        </xdr:cNvPr>
        <xdr:cNvSpPr/>
      </xdr:nvSpPr>
      <xdr:spPr bwMode="auto">
        <a:xfrm>
          <a:off x="13205460" y="4160520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44</xdr:row>
      <xdr:rowOff>0</xdr:rowOff>
    </xdr:from>
    <xdr:ext cx="333375" cy="1390650"/>
    <xdr:sp macro="" textlink="">
      <xdr:nvSpPr>
        <xdr:cNvPr id="14532"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400-0000C4380000}"/>
            </a:ext>
          </a:extLst>
        </xdr:cNvPr>
        <xdr:cNvSpPr/>
      </xdr:nvSpPr>
      <xdr:spPr bwMode="auto">
        <a:xfrm>
          <a:off x="13224510" y="4160520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390650"/>
    <xdr:sp macro="" textlink="">
      <xdr:nvSpPr>
        <xdr:cNvPr id="14533"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400-0000C5380000}"/>
            </a:ext>
          </a:extLst>
        </xdr:cNvPr>
        <xdr:cNvSpPr/>
      </xdr:nvSpPr>
      <xdr:spPr bwMode="auto">
        <a:xfrm>
          <a:off x="13205460" y="4160520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323975"/>
    <xdr:sp macro="" textlink="">
      <xdr:nvSpPr>
        <xdr:cNvPr id="14534"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400-0000C6380000}"/>
            </a:ext>
          </a:extLst>
        </xdr:cNvPr>
        <xdr:cNvSpPr/>
      </xdr:nvSpPr>
      <xdr:spPr bwMode="auto">
        <a:xfrm>
          <a:off x="13205460" y="4160520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333500"/>
    <xdr:sp macro="" textlink="">
      <xdr:nvSpPr>
        <xdr:cNvPr id="14535"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400-0000C7380000}"/>
            </a:ext>
          </a:extLst>
        </xdr:cNvPr>
        <xdr:cNvSpPr/>
      </xdr:nvSpPr>
      <xdr:spPr bwMode="auto">
        <a:xfrm>
          <a:off x="13205460" y="4160520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1352550"/>
    <xdr:sp macro="" textlink="">
      <xdr:nvSpPr>
        <xdr:cNvPr id="14536"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400-0000C8380000}"/>
            </a:ext>
          </a:extLst>
        </xdr:cNvPr>
        <xdr:cNvSpPr/>
      </xdr:nvSpPr>
      <xdr:spPr bwMode="auto">
        <a:xfrm>
          <a:off x="13205460" y="4160520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537"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400-0000C9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38"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400-0000CA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39"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400-0000CB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40"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400-0000CC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41"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400-0000CD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42"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400-0000CE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543"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400-0000CF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44"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400-0000D0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45"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400-0000D1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46"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400-0000D2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47"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400-0000D3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48"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400-0000D4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549"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400-0000D5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50"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400-0000D6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51"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400-0000D7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52"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400-0000D8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53"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400-0000D9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54"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400-0000DA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555"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400-0000DB38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56"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400-0000DC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57"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400-0000DD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58"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400-0000DE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59"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400-0000DF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560"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400-0000E038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561"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400-0000E138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62"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400-0000E2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63"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400-0000E3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64"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400-0000E4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65"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400-0000E5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66"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400-0000E6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567"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400-0000E738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68"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400-0000E8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69"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400-0000E9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70"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400-0000EA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71"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400-0000EB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572"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400-0000EC38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34</xdr:row>
          <xdr:rowOff>419100</xdr:rowOff>
        </xdr:from>
        <xdr:to>
          <xdr:col>6</xdr:col>
          <xdr:colOff>1019175</xdr:colOff>
          <xdr:row>34</xdr:row>
          <xdr:rowOff>762000</xdr:rowOff>
        </xdr:to>
        <xdr:sp macro="" textlink="">
          <xdr:nvSpPr>
            <xdr:cNvPr id="5" name="Check Box 9" hidden="1">
              <a:extLst>
                <a:ext uri="{63B3BB69-23CF-44E3-9099-C40C66FF867C}">
                  <a14:compatExt spid="_x0000_s14345"/>
                </a:ext>
                <a:ext uri="{FF2B5EF4-FFF2-40B4-BE49-F238E27FC236}">
                  <a16:creationId xmlns:a16="http://schemas.microsoft.com/office/drawing/2014/main" id="{00000000-0008-0000-04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35</xdr:row>
          <xdr:rowOff>485775</xdr:rowOff>
        </xdr:from>
        <xdr:to>
          <xdr:col>6</xdr:col>
          <xdr:colOff>1019175</xdr:colOff>
          <xdr:row>35</xdr:row>
          <xdr:rowOff>828675</xdr:rowOff>
        </xdr:to>
        <xdr:sp macro="" textlink="">
          <xdr:nvSpPr>
            <xdr:cNvPr id="14573" name="Check Box 10" hidden="1">
              <a:extLst>
                <a:ext uri="{63B3BB69-23CF-44E3-9099-C40C66FF867C}">
                  <a14:compatExt spid="_x0000_s14346"/>
                </a:ext>
                <a:ext uri="{FF2B5EF4-FFF2-40B4-BE49-F238E27FC236}">
                  <a16:creationId xmlns:a16="http://schemas.microsoft.com/office/drawing/2014/main" id="{00000000-0008-0000-0400-0000E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36</xdr:row>
          <xdr:rowOff>485775</xdr:rowOff>
        </xdr:from>
        <xdr:to>
          <xdr:col>6</xdr:col>
          <xdr:colOff>1019175</xdr:colOff>
          <xdr:row>36</xdr:row>
          <xdr:rowOff>828675</xdr:rowOff>
        </xdr:to>
        <xdr:sp macro="" textlink="">
          <xdr:nvSpPr>
            <xdr:cNvPr id="14574" name="Check Box 11" hidden="1">
              <a:extLst>
                <a:ext uri="{63B3BB69-23CF-44E3-9099-C40C66FF867C}">
                  <a14:compatExt spid="_x0000_s14347"/>
                </a:ext>
                <a:ext uri="{FF2B5EF4-FFF2-40B4-BE49-F238E27FC236}">
                  <a16:creationId xmlns:a16="http://schemas.microsoft.com/office/drawing/2014/main" id="{00000000-0008-0000-0400-0000E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37</xdr:row>
          <xdr:rowOff>457200</xdr:rowOff>
        </xdr:from>
        <xdr:to>
          <xdr:col>6</xdr:col>
          <xdr:colOff>1019175</xdr:colOff>
          <xdr:row>37</xdr:row>
          <xdr:rowOff>809625</xdr:rowOff>
        </xdr:to>
        <xdr:sp macro="" textlink="">
          <xdr:nvSpPr>
            <xdr:cNvPr id="14575" name="Check Box 12" hidden="1">
              <a:extLst>
                <a:ext uri="{63B3BB69-23CF-44E3-9099-C40C66FF867C}">
                  <a14:compatExt spid="_x0000_s14348"/>
                </a:ext>
                <a:ext uri="{FF2B5EF4-FFF2-40B4-BE49-F238E27FC236}">
                  <a16:creationId xmlns:a16="http://schemas.microsoft.com/office/drawing/2014/main" id="{00000000-0008-0000-0400-0000E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34</xdr:row>
      <xdr:rowOff>0</xdr:rowOff>
    </xdr:from>
    <xdr:ext cx="333375" cy="342900"/>
    <xdr:sp macro="" textlink="">
      <xdr:nvSpPr>
        <xdr:cNvPr id="14577"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400-0000F1380000}"/>
            </a:ext>
          </a:extLst>
        </xdr:cNvPr>
        <xdr:cNvSpPr/>
      </xdr:nvSpPr>
      <xdr:spPr bwMode="auto">
        <a:xfrm>
          <a:off x="13224510" y="238506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34</xdr:row>
      <xdr:rowOff>180975</xdr:rowOff>
    </xdr:from>
    <xdr:ext cx="342900" cy="342900"/>
    <xdr:sp macro="" textlink="">
      <xdr:nvSpPr>
        <xdr:cNvPr id="14578"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400-0000F2380000}"/>
            </a:ext>
          </a:extLst>
        </xdr:cNvPr>
        <xdr:cNvSpPr/>
      </xdr:nvSpPr>
      <xdr:spPr bwMode="auto">
        <a:xfrm>
          <a:off x="13205460" y="2403157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35</xdr:row>
      <xdr:rowOff>247650</xdr:rowOff>
    </xdr:from>
    <xdr:ext cx="342900" cy="342900"/>
    <xdr:sp macro="" textlink="">
      <xdr:nvSpPr>
        <xdr:cNvPr id="14579"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400-0000F3380000}"/>
            </a:ext>
          </a:extLst>
        </xdr:cNvPr>
        <xdr:cNvSpPr/>
      </xdr:nvSpPr>
      <xdr:spPr bwMode="auto">
        <a:xfrm>
          <a:off x="13205460" y="2534031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36</xdr:row>
      <xdr:rowOff>238125</xdr:rowOff>
    </xdr:from>
    <xdr:ext cx="342900" cy="342900"/>
    <xdr:sp macro="" textlink="">
      <xdr:nvSpPr>
        <xdr:cNvPr id="14580"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400-0000F4380000}"/>
            </a:ext>
          </a:extLst>
        </xdr:cNvPr>
        <xdr:cNvSpPr/>
      </xdr:nvSpPr>
      <xdr:spPr bwMode="auto">
        <a:xfrm>
          <a:off x="13205460" y="2657284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37</xdr:row>
      <xdr:rowOff>219075</xdr:rowOff>
    </xdr:from>
    <xdr:ext cx="342900" cy="342900"/>
    <xdr:sp macro="" textlink="">
      <xdr:nvSpPr>
        <xdr:cNvPr id="14581"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400-0000F5380000}"/>
            </a:ext>
          </a:extLst>
        </xdr:cNvPr>
        <xdr:cNvSpPr/>
      </xdr:nvSpPr>
      <xdr:spPr bwMode="auto">
        <a:xfrm>
          <a:off x="13205460" y="2779585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38</xdr:row>
      <xdr:rowOff>0</xdr:rowOff>
    </xdr:from>
    <xdr:ext cx="342900" cy="342900"/>
    <xdr:sp macro="" textlink="">
      <xdr:nvSpPr>
        <xdr:cNvPr id="14582"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400-0000F6380000}"/>
            </a:ext>
          </a:extLst>
        </xdr:cNvPr>
        <xdr:cNvSpPr/>
      </xdr:nvSpPr>
      <xdr:spPr bwMode="auto">
        <a:xfrm>
          <a:off x="13205460" y="288188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28</xdr:row>
          <xdr:rowOff>419100</xdr:rowOff>
        </xdr:from>
        <xdr:to>
          <xdr:col>6</xdr:col>
          <xdr:colOff>1019175</xdr:colOff>
          <xdr:row>28</xdr:row>
          <xdr:rowOff>762000</xdr:rowOff>
        </xdr:to>
        <xdr:sp macro="" textlink="">
          <xdr:nvSpPr>
            <xdr:cNvPr id="14576" name="Check Box 13" hidden="1">
              <a:extLst>
                <a:ext uri="{63B3BB69-23CF-44E3-9099-C40C66FF867C}">
                  <a14:compatExt spid="_x0000_s14349"/>
                </a:ext>
                <a:ext uri="{FF2B5EF4-FFF2-40B4-BE49-F238E27FC236}">
                  <a16:creationId xmlns:a16="http://schemas.microsoft.com/office/drawing/2014/main" id="{00000000-0008-0000-0400-0000F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29</xdr:row>
          <xdr:rowOff>485775</xdr:rowOff>
        </xdr:from>
        <xdr:to>
          <xdr:col>6</xdr:col>
          <xdr:colOff>1019175</xdr:colOff>
          <xdr:row>29</xdr:row>
          <xdr:rowOff>828675</xdr:rowOff>
        </xdr:to>
        <xdr:sp macro="" textlink="">
          <xdr:nvSpPr>
            <xdr:cNvPr id="14583" name="Check Box 14" hidden="1">
              <a:extLst>
                <a:ext uri="{63B3BB69-23CF-44E3-9099-C40C66FF867C}">
                  <a14:compatExt spid="_x0000_s14350"/>
                </a:ext>
                <a:ext uri="{FF2B5EF4-FFF2-40B4-BE49-F238E27FC236}">
                  <a16:creationId xmlns:a16="http://schemas.microsoft.com/office/drawing/2014/main" id="{00000000-0008-0000-0400-0000F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30</xdr:row>
          <xdr:rowOff>485775</xdr:rowOff>
        </xdr:from>
        <xdr:to>
          <xdr:col>6</xdr:col>
          <xdr:colOff>1019175</xdr:colOff>
          <xdr:row>30</xdr:row>
          <xdr:rowOff>828675</xdr:rowOff>
        </xdr:to>
        <xdr:sp macro="" textlink="">
          <xdr:nvSpPr>
            <xdr:cNvPr id="14584" name="Check Box 15" hidden="1">
              <a:extLst>
                <a:ext uri="{63B3BB69-23CF-44E3-9099-C40C66FF867C}">
                  <a14:compatExt spid="_x0000_s14351"/>
                </a:ext>
                <a:ext uri="{FF2B5EF4-FFF2-40B4-BE49-F238E27FC236}">
                  <a16:creationId xmlns:a16="http://schemas.microsoft.com/office/drawing/2014/main" id="{00000000-0008-0000-0400-0000F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31</xdr:row>
          <xdr:rowOff>457200</xdr:rowOff>
        </xdr:from>
        <xdr:to>
          <xdr:col>6</xdr:col>
          <xdr:colOff>1019175</xdr:colOff>
          <xdr:row>31</xdr:row>
          <xdr:rowOff>809625</xdr:rowOff>
        </xdr:to>
        <xdr:sp macro="" textlink="">
          <xdr:nvSpPr>
            <xdr:cNvPr id="14585" name="Check Box 16" hidden="1">
              <a:extLst>
                <a:ext uri="{63B3BB69-23CF-44E3-9099-C40C66FF867C}">
                  <a14:compatExt spid="_x0000_s14352"/>
                </a:ext>
                <a:ext uri="{FF2B5EF4-FFF2-40B4-BE49-F238E27FC236}">
                  <a16:creationId xmlns:a16="http://schemas.microsoft.com/office/drawing/2014/main" id="{00000000-0008-0000-0400-0000F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28</xdr:row>
      <xdr:rowOff>0</xdr:rowOff>
    </xdr:from>
    <xdr:ext cx="333375" cy="342900"/>
    <xdr:sp macro="" textlink="">
      <xdr:nvSpPr>
        <xdr:cNvPr id="14587"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400-0000FB380000}"/>
            </a:ext>
          </a:extLst>
        </xdr:cNvPr>
        <xdr:cNvSpPr/>
      </xdr:nvSpPr>
      <xdr:spPr bwMode="auto">
        <a:xfrm>
          <a:off x="13224510" y="177622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28</xdr:row>
      <xdr:rowOff>180975</xdr:rowOff>
    </xdr:from>
    <xdr:ext cx="342900" cy="342900"/>
    <xdr:sp macro="" textlink="">
      <xdr:nvSpPr>
        <xdr:cNvPr id="14588"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400-0000FC380000}"/>
            </a:ext>
          </a:extLst>
        </xdr:cNvPr>
        <xdr:cNvSpPr/>
      </xdr:nvSpPr>
      <xdr:spPr bwMode="auto">
        <a:xfrm>
          <a:off x="13205460" y="1794319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29</xdr:row>
      <xdr:rowOff>247650</xdr:rowOff>
    </xdr:from>
    <xdr:ext cx="342900" cy="342900"/>
    <xdr:sp macro="" textlink="">
      <xdr:nvSpPr>
        <xdr:cNvPr id="14589"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400-0000FD380000}"/>
            </a:ext>
          </a:extLst>
        </xdr:cNvPr>
        <xdr:cNvSpPr/>
      </xdr:nvSpPr>
      <xdr:spPr bwMode="auto">
        <a:xfrm>
          <a:off x="13205460" y="192519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30</xdr:row>
      <xdr:rowOff>238125</xdr:rowOff>
    </xdr:from>
    <xdr:ext cx="342900" cy="342900"/>
    <xdr:sp macro="" textlink="">
      <xdr:nvSpPr>
        <xdr:cNvPr id="14590"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400-0000FE380000}"/>
            </a:ext>
          </a:extLst>
        </xdr:cNvPr>
        <xdr:cNvSpPr/>
      </xdr:nvSpPr>
      <xdr:spPr bwMode="auto">
        <a:xfrm>
          <a:off x="13205460" y="2048446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31</xdr:row>
      <xdr:rowOff>219075</xdr:rowOff>
    </xdr:from>
    <xdr:ext cx="342900" cy="342900"/>
    <xdr:sp macro="" textlink="">
      <xdr:nvSpPr>
        <xdr:cNvPr id="14591"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400-0000FF380000}"/>
            </a:ext>
          </a:extLst>
        </xdr:cNvPr>
        <xdr:cNvSpPr/>
      </xdr:nvSpPr>
      <xdr:spPr bwMode="auto">
        <a:xfrm>
          <a:off x="13205460" y="2170747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4592"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400-000000390000}"/>
            </a:ext>
          </a:extLst>
        </xdr:cNvPr>
        <xdr:cNvSpPr/>
      </xdr:nvSpPr>
      <xdr:spPr bwMode="auto">
        <a:xfrm>
          <a:off x="13205460" y="22730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22</xdr:row>
          <xdr:rowOff>333375</xdr:rowOff>
        </xdr:from>
        <xdr:to>
          <xdr:col>6</xdr:col>
          <xdr:colOff>1019175</xdr:colOff>
          <xdr:row>22</xdr:row>
          <xdr:rowOff>676275</xdr:rowOff>
        </xdr:to>
        <xdr:sp macro="" textlink="">
          <xdr:nvSpPr>
            <xdr:cNvPr id="14586" name="Check Box 17" hidden="1">
              <a:extLst>
                <a:ext uri="{63B3BB69-23CF-44E3-9099-C40C66FF867C}">
                  <a14:compatExt spid="_x0000_s14353"/>
                </a:ext>
                <a:ext uri="{FF2B5EF4-FFF2-40B4-BE49-F238E27FC236}">
                  <a16:creationId xmlns:a16="http://schemas.microsoft.com/office/drawing/2014/main" id="{00000000-0008-0000-0400-0000F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23</xdr:row>
          <xdr:rowOff>409575</xdr:rowOff>
        </xdr:from>
        <xdr:to>
          <xdr:col>6</xdr:col>
          <xdr:colOff>1019175</xdr:colOff>
          <xdr:row>23</xdr:row>
          <xdr:rowOff>752475</xdr:rowOff>
        </xdr:to>
        <xdr:sp macro="" textlink="">
          <xdr:nvSpPr>
            <xdr:cNvPr id="14593" name="Check Box 18" hidden="1">
              <a:extLst>
                <a:ext uri="{63B3BB69-23CF-44E3-9099-C40C66FF867C}">
                  <a14:compatExt spid="_x0000_s14354"/>
                </a:ext>
                <a:ext uri="{FF2B5EF4-FFF2-40B4-BE49-F238E27FC236}">
                  <a16:creationId xmlns:a16="http://schemas.microsoft.com/office/drawing/2014/main" id="{00000000-0008-0000-0400-0000013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24</xdr:row>
          <xdr:rowOff>390525</xdr:rowOff>
        </xdr:from>
        <xdr:to>
          <xdr:col>6</xdr:col>
          <xdr:colOff>1019175</xdr:colOff>
          <xdr:row>24</xdr:row>
          <xdr:rowOff>733425</xdr:rowOff>
        </xdr:to>
        <xdr:sp macro="" textlink="">
          <xdr:nvSpPr>
            <xdr:cNvPr id="14594" name="Check Box 19" hidden="1">
              <a:extLst>
                <a:ext uri="{63B3BB69-23CF-44E3-9099-C40C66FF867C}">
                  <a14:compatExt spid="_x0000_s14355"/>
                </a:ext>
                <a:ext uri="{FF2B5EF4-FFF2-40B4-BE49-F238E27FC236}">
                  <a16:creationId xmlns:a16="http://schemas.microsoft.com/office/drawing/2014/main" id="{00000000-0008-0000-0400-0000023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25</xdr:row>
          <xdr:rowOff>371475</xdr:rowOff>
        </xdr:from>
        <xdr:to>
          <xdr:col>6</xdr:col>
          <xdr:colOff>1019175</xdr:colOff>
          <xdr:row>25</xdr:row>
          <xdr:rowOff>714375</xdr:rowOff>
        </xdr:to>
        <xdr:sp macro="" textlink="">
          <xdr:nvSpPr>
            <xdr:cNvPr id="14595" name="Check Box 20" hidden="1">
              <a:extLst>
                <a:ext uri="{63B3BB69-23CF-44E3-9099-C40C66FF867C}">
                  <a14:compatExt spid="_x0000_s14356"/>
                </a:ext>
                <a:ext uri="{FF2B5EF4-FFF2-40B4-BE49-F238E27FC236}">
                  <a16:creationId xmlns:a16="http://schemas.microsoft.com/office/drawing/2014/main" id="{00000000-0008-0000-0400-0000033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22</xdr:row>
      <xdr:rowOff>0</xdr:rowOff>
    </xdr:from>
    <xdr:ext cx="333375" cy="342900"/>
    <xdr:sp macro="" textlink="">
      <xdr:nvSpPr>
        <xdr:cNvPr id="14597"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400-000005390000}"/>
            </a:ext>
          </a:extLst>
        </xdr:cNvPr>
        <xdr:cNvSpPr/>
      </xdr:nvSpPr>
      <xdr:spPr bwMode="auto">
        <a:xfrm>
          <a:off x="13224510" y="115671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22</xdr:row>
      <xdr:rowOff>180975</xdr:rowOff>
    </xdr:from>
    <xdr:ext cx="342900" cy="342900"/>
    <xdr:sp macro="" textlink="">
      <xdr:nvSpPr>
        <xdr:cNvPr id="14598"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400-000006390000}"/>
            </a:ext>
          </a:extLst>
        </xdr:cNvPr>
        <xdr:cNvSpPr/>
      </xdr:nvSpPr>
      <xdr:spPr bwMode="auto">
        <a:xfrm>
          <a:off x="13205460" y="117481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23</xdr:row>
      <xdr:rowOff>247650</xdr:rowOff>
    </xdr:from>
    <xdr:ext cx="342900" cy="342900"/>
    <xdr:sp macro="" textlink="">
      <xdr:nvSpPr>
        <xdr:cNvPr id="14599"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400-000007390000}"/>
            </a:ext>
          </a:extLst>
        </xdr:cNvPr>
        <xdr:cNvSpPr/>
      </xdr:nvSpPr>
      <xdr:spPr bwMode="auto">
        <a:xfrm>
          <a:off x="13205460" y="130568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24</xdr:row>
      <xdr:rowOff>238125</xdr:rowOff>
    </xdr:from>
    <xdr:ext cx="342900" cy="342900"/>
    <xdr:sp macro="" textlink="">
      <xdr:nvSpPr>
        <xdr:cNvPr id="14600"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400-000008390000}"/>
            </a:ext>
          </a:extLst>
        </xdr:cNvPr>
        <xdr:cNvSpPr/>
      </xdr:nvSpPr>
      <xdr:spPr bwMode="auto">
        <a:xfrm>
          <a:off x="13205460" y="1428940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25</xdr:row>
      <xdr:rowOff>219075</xdr:rowOff>
    </xdr:from>
    <xdr:ext cx="342900" cy="342900"/>
    <xdr:sp macro="" textlink="">
      <xdr:nvSpPr>
        <xdr:cNvPr id="14601"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400-000009390000}"/>
            </a:ext>
          </a:extLst>
        </xdr:cNvPr>
        <xdr:cNvSpPr/>
      </xdr:nvSpPr>
      <xdr:spPr bwMode="auto">
        <a:xfrm>
          <a:off x="13205460" y="1551241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4602"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400-00000A390000}"/>
            </a:ext>
          </a:extLst>
        </xdr:cNvPr>
        <xdr:cNvSpPr/>
      </xdr:nvSpPr>
      <xdr:spPr bwMode="auto">
        <a:xfrm>
          <a:off x="13205460" y="165354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603"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400-00000B390000}"/>
            </a:ext>
          </a:extLst>
        </xdr:cNvPr>
        <xdr:cNvSpPr/>
      </xdr:nvSpPr>
      <xdr:spPr bwMode="auto">
        <a:xfrm>
          <a:off x="132149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604"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400-00000C39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605"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400-00000D39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606"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400-00000E39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607"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400-00000F39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608"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400-00001039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44</xdr:row>
      <xdr:rowOff>0</xdr:rowOff>
    </xdr:from>
    <xdr:ext cx="333375" cy="342900"/>
    <xdr:sp macro="" textlink="">
      <xdr:nvSpPr>
        <xdr:cNvPr id="14613"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400-000015390000}"/>
            </a:ext>
          </a:extLst>
        </xdr:cNvPr>
        <xdr:cNvSpPr/>
      </xdr:nvSpPr>
      <xdr:spPr bwMode="auto">
        <a:xfrm>
          <a:off x="13214985" y="366369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614"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400-000016390000}"/>
            </a:ext>
          </a:extLst>
        </xdr:cNvPr>
        <xdr:cNvSpPr/>
      </xdr:nvSpPr>
      <xdr:spPr bwMode="auto">
        <a:xfrm>
          <a:off x="13205460" y="36827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615"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400-000017390000}"/>
            </a:ext>
          </a:extLst>
        </xdr:cNvPr>
        <xdr:cNvSpPr/>
      </xdr:nvSpPr>
      <xdr:spPr bwMode="auto">
        <a:xfrm>
          <a:off x="13205460" y="381266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616"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400-000018390000}"/>
            </a:ext>
          </a:extLst>
        </xdr:cNvPr>
        <xdr:cNvSpPr/>
      </xdr:nvSpPr>
      <xdr:spPr bwMode="auto">
        <a:xfrm>
          <a:off x="13205460" y="393687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617"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400-000019390000}"/>
            </a:ext>
          </a:extLst>
        </xdr:cNvPr>
        <xdr:cNvSpPr/>
      </xdr:nvSpPr>
      <xdr:spPr bwMode="auto">
        <a:xfrm>
          <a:off x="13205460" y="406107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44</xdr:row>
      <xdr:rowOff>0</xdr:rowOff>
    </xdr:from>
    <xdr:ext cx="342900" cy="342900"/>
    <xdr:sp macro="" textlink="">
      <xdr:nvSpPr>
        <xdr:cNvPr id="14618"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400-00001A390000}"/>
            </a:ext>
          </a:extLst>
        </xdr:cNvPr>
        <xdr:cNvSpPr/>
      </xdr:nvSpPr>
      <xdr:spPr bwMode="auto">
        <a:xfrm>
          <a:off x="132054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619"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400-00001B39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20"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400-00001C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21"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400-00001D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22"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400-00001E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23"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400-00001F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24"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400-000020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625"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400-00002139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26"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400-000022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27"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400-000023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28"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400-000024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29"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400-000025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30"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400-000026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631"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400-00002739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32"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400-000028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33"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400-000029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34"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400-00002A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35"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400-00002B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36"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400-00002C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637"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400-00002D39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38"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400-00002E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39"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400-00002F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40"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400-000030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41"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400-000031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42"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400-000032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44</xdr:row>
      <xdr:rowOff>0</xdr:rowOff>
    </xdr:from>
    <xdr:ext cx="333375" cy="342900"/>
    <xdr:sp macro="" textlink="">
      <xdr:nvSpPr>
        <xdr:cNvPr id="14643"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400-000033390000}"/>
            </a:ext>
          </a:extLst>
        </xdr:cNvPr>
        <xdr:cNvSpPr/>
      </xdr:nvSpPr>
      <xdr:spPr bwMode="auto">
        <a:xfrm>
          <a:off x="13176885" y="4160520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44"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400-000034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45"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400-000035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46"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400-000036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47"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400-000037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44</xdr:row>
      <xdr:rowOff>0</xdr:rowOff>
    </xdr:from>
    <xdr:ext cx="342900" cy="342900"/>
    <xdr:sp macro="" textlink="">
      <xdr:nvSpPr>
        <xdr:cNvPr id="14648"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400-000038390000}"/>
            </a:ext>
          </a:extLst>
        </xdr:cNvPr>
        <xdr:cNvSpPr/>
      </xdr:nvSpPr>
      <xdr:spPr bwMode="auto">
        <a:xfrm>
          <a:off x="13167360" y="416052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123825</xdr:colOff>
      <xdr:row>0</xdr:row>
      <xdr:rowOff>85726</xdr:rowOff>
    </xdr:from>
    <xdr:ext cx="0" cy="730672"/>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 name="Imagen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6</xdr:col>
          <xdr:colOff>676275</xdr:colOff>
          <xdr:row>16</xdr:row>
          <xdr:rowOff>342900</xdr:rowOff>
        </xdr:from>
        <xdr:to>
          <xdr:col>6</xdr:col>
          <xdr:colOff>1019175</xdr:colOff>
          <xdr:row>16</xdr:row>
          <xdr:rowOff>695325</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0500-00000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17</xdr:row>
          <xdr:rowOff>409575</xdr:rowOff>
        </xdr:from>
        <xdr:to>
          <xdr:col>6</xdr:col>
          <xdr:colOff>1019175</xdr:colOff>
          <xdr:row>17</xdr:row>
          <xdr:rowOff>752475</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0500-00000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18</xdr:row>
          <xdr:rowOff>409575</xdr:rowOff>
        </xdr:from>
        <xdr:to>
          <xdr:col>6</xdr:col>
          <xdr:colOff>1019175</xdr:colOff>
          <xdr:row>18</xdr:row>
          <xdr:rowOff>752475</xdr:rowOff>
        </xdr:to>
        <xdr:sp macro="" textlink="">
          <xdr:nvSpPr>
            <xdr:cNvPr id="15363" name="Check Box 3" hidden="1">
              <a:extLst>
                <a:ext uri="{63B3BB69-23CF-44E3-9099-C40C66FF867C}">
                  <a14:compatExt spid="_x0000_s15363"/>
                </a:ext>
                <a:ext uri="{FF2B5EF4-FFF2-40B4-BE49-F238E27FC236}">
                  <a16:creationId xmlns:a16="http://schemas.microsoft.com/office/drawing/2014/main" id="{00000000-0008-0000-0500-00000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19</xdr:row>
          <xdr:rowOff>381000</xdr:rowOff>
        </xdr:from>
        <xdr:to>
          <xdr:col>6</xdr:col>
          <xdr:colOff>1019175</xdr:colOff>
          <xdr:row>19</xdr:row>
          <xdr:rowOff>733425</xdr:rowOff>
        </xdr:to>
        <xdr:sp macro="" textlink="">
          <xdr:nvSpPr>
            <xdr:cNvPr id="15364" name="Check Box 4" hidden="1">
              <a:extLst>
                <a:ext uri="{63B3BB69-23CF-44E3-9099-C40C66FF867C}">
                  <a14:compatExt spid="_x0000_s15364"/>
                </a:ext>
                <a:ext uri="{FF2B5EF4-FFF2-40B4-BE49-F238E27FC236}">
                  <a16:creationId xmlns:a16="http://schemas.microsoft.com/office/drawing/2014/main" id="{00000000-0008-0000-0500-00000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32</xdr:row>
      <xdr:rowOff>0</xdr:rowOff>
    </xdr:from>
    <xdr:ext cx="333375" cy="342900"/>
    <xdr:sp macro="" textlink="">
      <xdr:nvSpPr>
        <xdr:cNvPr id="6" name="Check Box 90" hidden="1">
          <a:extLst>
            <a:ext uri="{63B3BB69-23CF-44E3-9099-C40C66FF867C}">
              <a14:compatExt xmlns:a14="http://schemas.microsoft.com/office/drawing/2010/main" spid="_x0000_s5210"/>
            </a:ext>
            <a:ext uri="{FF2B5EF4-FFF2-40B4-BE49-F238E27FC236}">
              <a16:creationId xmlns:a16="http://schemas.microsoft.com/office/drawing/2014/main" id="{00000000-0008-0000-0500-000006000000}"/>
            </a:ext>
          </a:extLst>
        </xdr:cNvPr>
        <xdr:cNvSpPr/>
      </xdr:nvSpPr>
      <xdr:spPr bwMode="auto">
        <a:xfrm>
          <a:off x="13224510"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7" name="Check Box 91" hidden="1">
          <a:extLst>
            <a:ext uri="{63B3BB69-23CF-44E3-9099-C40C66FF867C}">
              <a14:compatExt xmlns:a14="http://schemas.microsoft.com/office/drawing/2010/main" spid="_x0000_s5211"/>
            </a:ext>
            <a:ext uri="{FF2B5EF4-FFF2-40B4-BE49-F238E27FC236}">
              <a16:creationId xmlns:a16="http://schemas.microsoft.com/office/drawing/2014/main" id="{00000000-0008-0000-0500-00000700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 name="Check Box 92" hidden="1">
          <a:extLst>
            <a:ext uri="{63B3BB69-23CF-44E3-9099-C40C66FF867C}">
              <a14:compatExt xmlns:a14="http://schemas.microsoft.com/office/drawing/2010/main" spid="_x0000_s5212"/>
            </a:ext>
            <a:ext uri="{FF2B5EF4-FFF2-40B4-BE49-F238E27FC236}">
              <a16:creationId xmlns:a16="http://schemas.microsoft.com/office/drawing/2014/main" id="{00000000-0008-0000-0500-00000800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9" name="Check Box 93" hidden="1">
          <a:extLst>
            <a:ext uri="{63B3BB69-23CF-44E3-9099-C40C66FF867C}">
              <a14:compatExt xmlns:a14="http://schemas.microsoft.com/office/drawing/2010/main" spid="_x0000_s5213"/>
            </a:ext>
            <a:ext uri="{FF2B5EF4-FFF2-40B4-BE49-F238E27FC236}">
              <a16:creationId xmlns:a16="http://schemas.microsoft.com/office/drawing/2014/main" id="{00000000-0008-0000-0500-00000900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0" name="Check Box 94" hidden="1">
          <a:extLst>
            <a:ext uri="{63B3BB69-23CF-44E3-9099-C40C66FF867C}">
              <a14:compatExt xmlns:a14="http://schemas.microsoft.com/office/drawing/2010/main" spid="_x0000_s5214"/>
            </a:ext>
            <a:ext uri="{FF2B5EF4-FFF2-40B4-BE49-F238E27FC236}">
              <a16:creationId xmlns:a16="http://schemas.microsoft.com/office/drawing/2014/main" id="{00000000-0008-0000-0500-00000A00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1" name="Check Box 95" hidden="1">
          <a:extLst>
            <a:ext uri="{63B3BB69-23CF-44E3-9099-C40C66FF867C}">
              <a14:compatExt xmlns:a14="http://schemas.microsoft.com/office/drawing/2010/main" spid="_x0000_s5215"/>
            </a:ext>
            <a:ext uri="{FF2B5EF4-FFF2-40B4-BE49-F238E27FC236}">
              <a16:creationId xmlns:a16="http://schemas.microsoft.com/office/drawing/2014/main" id="{00000000-0008-0000-0500-00000B00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2"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500-00000C00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3"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500-00000D00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4"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500-00000E00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500-00000F00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500-00001000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7"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500-00001100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8"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500-00001200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9"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500-000013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0"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500-000014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1"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500-000015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2"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500-000016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3"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500-000017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24"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500-00001800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5"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500-000019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6"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500-00001A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7"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500-00001B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8"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500-00001C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9"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500-00001D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123825</xdr:colOff>
      <xdr:row>0</xdr:row>
      <xdr:rowOff>85726</xdr:rowOff>
    </xdr:from>
    <xdr:ext cx="0" cy="730672"/>
    <xdr:pic>
      <xdr:nvPicPr>
        <xdr:cNvPr id="30" name="Imagen 29">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1" name="Imagen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32" name="Imagen 31">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xdr:oneCellAnchor>
    <xdr:from>
      <xdr:col>6</xdr:col>
      <xdr:colOff>1009650</xdr:colOff>
      <xdr:row>16</xdr:row>
      <xdr:rowOff>0</xdr:rowOff>
    </xdr:from>
    <xdr:ext cx="333375" cy="342900"/>
    <xdr:sp macro="" textlink="">
      <xdr:nvSpPr>
        <xdr:cNvPr id="33"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500-000021000000}"/>
            </a:ext>
          </a:extLst>
        </xdr:cNvPr>
        <xdr:cNvSpPr/>
      </xdr:nvSpPr>
      <xdr:spPr bwMode="auto">
        <a:xfrm>
          <a:off x="13224510" y="52273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16</xdr:row>
      <xdr:rowOff>180975</xdr:rowOff>
    </xdr:from>
    <xdr:ext cx="342900" cy="342900"/>
    <xdr:sp macro="" textlink="">
      <xdr:nvSpPr>
        <xdr:cNvPr id="34"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500-000022000000}"/>
            </a:ext>
          </a:extLst>
        </xdr:cNvPr>
        <xdr:cNvSpPr/>
      </xdr:nvSpPr>
      <xdr:spPr bwMode="auto">
        <a:xfrm>
          <a:off x="13205460" y="540829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17</xdr:row>
      <xdr:rowOff>247650</xdr:rowOff>
    </xdr:from>
    <xdr:ext cx="342900" cy="342900"/>
    <xdr:sp macro="" textlink="">
      <xdr:nvSpPr>
        <xdr:cNvPr id="35"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500-000023000000}"/>
            </a:ext>
          </a:extLst>
        </xdr:cNvPr>
        <xdr:cNvSpPr/>
      </xdr:nvSpPr>
      <xdr:spPr bwMode="auto">
        <a:xfrm>
          <a:off x="13205460" y="67170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18</xdr:row>
      <xdr:rowOff>238125</xdr:rowOff>
    </xdr:from>
    <xdr:ext cx="342900" cy="342900"/>
    <xdr:sp macro="" textlink="">
      <xdr:nvSpPr>
        <xdr:cNvPr id="36"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500-000024000000}"/>
            </a:ext>
          </a:extLst>
        </xdr:cNvPr>
        <xdr:cNvSpPr/>
      </xdr:nvSpPr>
      <xdr:spPr bwMode="auto">
        <a:xfrm>
          <a:off x="13205460" y="794956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19</xdr:row>
      <xdr:rowOff>219075</xdr:rowOff>
    </xdr:from>
    <xdr:ext cx="342900" cy="342900"/>
    <xdr:sp macro="" textlink="">
      <xdr:nvSpPr>
        <xdr:cNvPr id="37"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500-000025000000}"/>
            </a:ext>
          </a:extLst>
        </xdr:cNvPr>
        <xdr:cNvSpPr/>
      </xdr:nvSpPr>
      <xdr:spPr bwMode="auto">
        <a:xfrm>
          <a:off x="13205460" y="917257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3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26000000}"/>
            </a:ext>
          </a:extLst>
        </xdr:cNvPr>
        <xdr:cNvSpPr/>
      </xdr:nvSpPr>
      <xdr:spPr bwMode="auto">
        <a:xfrm>
          <a:off x="13205460" y="104394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39"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500-000027000000}"/>
            </a:ext>
          </a:extLst>
        </xdr:cNvPr>
        <xdr:cNvSpPr/>
      </xdr:nvSpPr>
      <xdr:spPr bwMode="auto">
        <a:xfrm>
          <a:off x="13214985" y="3080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0"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500-000028000000}"/>
            </a:ext>
          </a:extLst>
        </xdr:cNvPr>
        <xdr:cNvSpPr/>
      </xdr:nvSpPr>
      <xdr:spPr bwMode="auto">
        <a:xfrm>
          <a:off x="13205460" y="309981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1"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500-000029000000}"/>
            </a:ext>
          </a:extLst>
        </xdr:cNvPr>
        <xdr:cNvSpPr/>
      </xdr:nvSpPr>
      <xdr:spPr bwMode="auto">
        <a:xfrm>
          <a:off x="13205460" y="322973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2"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500-00002A000000}"/>
            </a:ext>
          </a:extLst>
        </xdr:cNvPr>
        <xdr:cNvSpPr/>
      </xdr:nvSpPr>
      <xdr:spPr bwMode="auto">
        <a:xfrm>
          <a:off x="13205460" y="335394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3"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500-00002B000000}"/>
            </a:ext>
          </a:extLst>
        </xdr:cNvPr>
        <xdr:cNvSpPr/>
      </xdr:nvSpPr>
      <xdr:spPr bwMode="auto">
        <a:xfrm>
          <a:off x="13205460" y="347814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4"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500-00002C000000}"/>
            </a:ext>
          </a:extLst>
        </xdr:cNvPr>
        <xdr:cNvSpPr/>
      </xdr:nvSpPr>
      <xdr:spPr bwMode="auto">
        <a:xfrm>
          <a:off x="13205460" y="357759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45"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500-00002D00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46"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500-00002E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47"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500-00002F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48"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500-000030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49"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500-000031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0"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500-000032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51"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500-00003300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2"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500-000034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3"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500-000035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4"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500-000036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5"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500-000037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6"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500-000038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57"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500-00003900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8"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500-00003A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9"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500-00003B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60"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500-00003C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61"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500-00003D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62"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500-00003E00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342900"/>
    <xdr:sp macro="" textlink="">
      <xdr:nvSpPr>
        <xdr:cNvPr id="63" name="Check Box 169" hidden="1">
          <a:extLst>
            <a:ext uri="{63B3BB69-23CF-44E3-9099-C40C66FF867C}">
              <a14:compatExt xmlns:a14="http://schemas.microsoft.com/office/drawing/2010/main" spid="_x0000_s5289"/>
            </a:ext>
            <a:ext uri="{FF2B5EF4-FFF2-40B4-BE49-F238E27FC236}">
              <a16:creationId xmlns:a16="http://schemas.microsoft.com/office/drawing/2014/main" id="{00000000-0008-0000-0500-00003F000000}"/>
            </a:ext>
          </a:extLst>
        </xdr:cNvPr>
        <xdr:cNvSpPr/>
      </xdr:nvSpPr>
      <xdr:spPr bwMode="auto">
        <a:xfrm>
          <a:off x="13224510"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60" name="Check Box 170" hidden="1">
          <a:extLst>
            <a:ext uri="{63B3BB69-23CF-44E3-9099-C40C66FF867C}">
              <a14:compatExt xmlns:a14="http://schemas.microsoft.com/office/drawing/2010/main" spid="_x0000_s5290"/>
            </a:ext>
            <a:ext uri="{FF2B5EF4-FFF2-40B4-BE49-F238E27FC236}">
              <a16:creationId xmlns:a16="http://schemas.microsoft.com/office/drawing/2014/main" id="{00000000-0008-0000-0500-000000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69" name="Check Box 171" hidden="1">
          <a:extLst>
            <a:ext uri="{63B3BB69-23CF-44E3-9099-C40C66FF867C}">
              <a14:compatExt xmlns:a14="http://schemas.microsoft.com/office/drawing/2010/main" spid="_x0000_s5291"/>
            </a:ext>
            <a:ext uri="{FF2B5EF4-FFF2-40B4-BE49-F238E27FC236}">
              <a16:creationId xmlns:a16="http://schemas.microsoft.com/office/drawing/2014/main" id="{00000000-0008-0000-0500-000009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70" name="Check Box 172" hidden="1">
          <a:extLst>
            <a:ext uri="{63B3BB69-23CF-44E3-9099-C40C66FF867C}">
              <a14:compatExt xmlns:a14="http://schemas.microsoft.com/office/drawing/2010/main" spid="_x0000_s5292"/>
            </a:ext>
            <a:ext uri="{FF2B5EF4-FFF2-40B4-BE49-F238E27FC236}">
              <a16:creationId xmlns:a16="http://schemas.microsoft.com/office/drawing/2014/main" id="{00000000-0008-0000-0500-00000A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71" name="Check Box 173" hidden="1">
          <a:extLst>
            <a:ext uri="{63B3BB69-23CF-44E3-9099-C40C66FF867C}">
              <a14:compatExt xmlns:a14="http://schemas.microsoft.com/office/drawing/2010/main" spid="_x0000_s5293"/>
            </a:ext>
            <a:ext uri="{FF2B5EF4-FFF2-40B4-BE49-F238E27FC236}">
              <a16:creationId xmlns:a16="http://schemas.microsoft.com/office/drawing/2014/main" id="{00000000-0008-0000-0500-00000B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72" name="Check Box 174" hidden="1">
          <a:extLst>
            <a:ext uri="{63B3BB69-23CF-44E3-9099-C40C66FF867C}">
              <a14:compatExt xmlns:a14="http://schemas.microsoft.com/office/drawing/2010/main" spid="_x0000_s5294"/>
            </a:ext>
            <a:ext uri="{FF2B5EF4-FFF2-40B4-BE49-F238E27FC236}">
              <a16:creationId xmlns:a16="http://schemas.microsoft.com/office/drawing/2014/main" id="{00000000-0008-0000-0500-00000C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373" name="Check Box 175" hidden="1">
          <a:extLst>
            <a:ext uri="{63B3BB69-23CF-44E3-9099-C40C66FF867C}">
              <a14:compatExt xmlns:a14="http://schemas.microsoft.com/office/drawing/2010/main" spid="_x0000_s5295"/>
            </a:ext>
            <a:ext uri="{FF2B5EF4-FFF2-40B4-BE49-F238E27FC236}">
              <a16:creationId xmlns:a16="http://schemas.microsoft.com/office/drawing/2014/main" id="{00000000-0008-0000-0500-00000D3C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74" name="Check Box 176" hidden="1">
          <a:extLst>
            <a:ext uri="{63B3BB69-23CF-44E3-9099-C40C66FF867C}">
              <a14:compatExt xmlns:a14="http://schemas.microsoft.com/office/drawing/2010/main" spid="_x0000_s5296"/>
            </a:ext>
            <a:ext uri="{FF2B5EF4-FFF2-40B4-BE49-F238E27FC236}">
              <a16:creationId xmlns:a16="http://schemas.microsoft.com/office/drawing/2014/main" id="{00000000-0008-0000-0500-00000E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75" name="Check Box 177" hidden="1">
          <a:extLst>
            <a:ext uri="{63B3BB69-23CF-44E3-9099-C40C66FF867C}">
              <a14:compatExt xmlns:a14="http://schemas.microsoft.com/office/drawing/2010/main" spid="_x0000_s5297"/>
            </a:ext>
            <a:ext uri="{FF2B5EF4-FFF2-40B4-BE49-F238E27FC236}">
              <a16:creationId xmlns:a16="http://schemas.microsoft.com/office/drawing/2014/main" id="{00000000-0008-0000-0500-00000F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76" name="Check Box 178" hidden="1">
          <a:extLst>
            <a:ext uri="{63B3BB69-23CF-44E3-9099-C40C66FF867C}">
              <a14:compatExt xmlns:a14="http://schemas.microsoft.com/office/drawing/2010/main" spid="_x0000_s5298"/>
            </a:ext>
            <a:ext uri="{FF2B5EF4-FFF2-40B4-BE49-F238E27FC236}">
              <a16:creationId xmlns:a16="http://schemas.microsoft.com/office/drawing/2014/main" id="{00000000-0008-0000-0500-000010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77" name="Check Box 179" hidden="1">
          <a:extLst>
            <a:ext uri="{63B3BB69-23CF-44E3-9099-C40C66FF867C}">
              <a14:compatExt xmlns:a14="http://schemas.microsoft.com/office/drawing/2010/main" spid="_x0000_s5299"/>
            </a:ext>
            <a:ext uri="{FF2B5EF4-FFF2-40B4-BE49-F238E27FC236}">
              <a16:creationId xmlns:a16="http://schemas.microsoft.com/office/drawing/2014/main" id="{00000000-0008-0000-0500-000011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78" name="Check Box 180" hidden="1">
          <a:extLst>
            <a:ext uri="{63B3BB69-23CF-44E3-9099-C40C66FF867C}">
              <a14:compatExt xmlns:a14="http://schemas.microsoft.com/office/drawing/2010/main" spid="_x0000_s5300"/>
            </a:ext>
            <a:ext uri="{FF2B5EF4-FFF2-40B4-BE49-F238E27FC236}">
              <a16:creationId xmlns:a16="http://schemas.microsoft.com/office/drawing/2014/main" id="{00000000-0008-0000-0500-000012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379" name="Check Box 181" hidden="1">
          <a:extLst>
            <a:ext uri="{63B3BB69-23CF-44E3-9099-C40C66FF867C}">
              <a14:compatExt xmlns:a14="http://schemas.microsoft.com/office/drawing/2010/main" spid="_x0000_s5301"/>
            </a:ext>
            <a:ext uri="{FF2B5EF4-FFF2-40B4-BE49-F238E27FC236}">
              <a16:creationId xmlns:a16="http://schemas.microsoft.com/office/drawing/2014/main" id="{00000000-0008-0000-0500-000013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80" name="Check Box 182" hidden="1">
          <a:extLst>
            <a:ext uri="{63B3BB69-23CF-44E3-9099-C40C66FF867C}">
              <a14:compatExt xmlns:a14="http://schemas.microsoft.com/office/drawing/2010/main" spid="_x0000_s5302"/>
            </a:ext>
            <a:ext uri="{FF2B5EF4-FFF2-40B4-BE49-F238E27FC236}">
              <a16:creationId xmlns:a16="http://schemas.microsoft.com/office/drawing/2014/main" id="{00000000-0008-0000-0500-000014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81" name="Check Box 183" hidden="1">
          <a:extLst>
            <a:ext uri="{63B3BB69-23CF-44E3-9099-C40C66FF867C}">
              <a14:compatExt xmlns:a14="http://schemas.microsoft.com/office/drawing/2010/main" spid="_x0000_s5303"/>
            </a:ext>
            <a:ext uri="{FF2B5EF4-FFF2-40B4-BE49-F238E27FC236}">
              <a16:creationId xmlns:a16="http://schemas.microsoft.com/office/drawing/2014/main" id="{00000000-0008-0000-0500-000015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82" name="Check Box 184" hidden="1">
          <a:extLst>
            <a:ext uri="{63B3BB69-23CF-44E3-9099-C40C66FF867C}">
              <a14:compatExt xmlns:a14="http://schemas.microsoft.com/office/drawing/2010/main" spid="_x0000_s5304"/>
            </a:ext>
            <a:ext uri="{FF2B5EF4-FFF2-40B4-BE49-F238E27FC236}">
              <a16:creationId xmlns:a16="http://schemas.microsoft.com/office/drawing/2014/main" id="{00000000-0008-0000-0500-000016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83" name="Check Box 185" hidden="1">
          <a:extLst>
            <a:ext uri="{63B3BB69-23CF-44E3-9099-C40C66FF867C}">
              <a14:compatExt xmlns:a14="http://schemas.microsoft.com/office/drawing/2010/main" spid="_x0000_s5305"/>
            </a:ext>
            <a:ext uri="{FF2B5EF4-FFF2-40B4-BE49-F238E27FC236}">
              <a16:creationId xmlns:a16="http://schemas.microsoft.com/office/drawing/2014/main" id="{00000000-0008-0000-0500-000017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84" name="Check Box 186" hidden="1">
          <a:extLst>
            <a:ext uri="{63B3BB69-23CF-44E3-9099-C40C66FF867C}">
              <a14:compatExt xmlns:a14="http://schemas.microsoft.com/office/drawing/2010/main" spid="_x0000_s5306"/>
            </a:ext>
            <a:ext uri="{FF2B5EF4-FFF2-40B4-BE49-F238E27FC236}">
              <a16:creationId xmlns:a16="http://schemas.microsoft.com/office/drawing/2014/main" id="{00000000-0008-0000-0500-000018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385" name="Check Box 187" hidden="1">
          <a:extLst>
            <a:ext uri="{63B3BB69-23CF-44E3-9099-C40C66FF867C}">
              <a14:compatExt xmlns:a14="http://schemas.microsoft.com/office/drawing/2010/main" spid="_x0000_s5307"/>
            </a:ext>
            <a:ext uri="{FF2B5EF4-FFF2-40B4-BE49-F238E27FC236}">
              <a16:creationId xmlns:a16="http://schemas.microsoft.com/office/drawing/2014/main" id="{00000000-0008-0000-0500-000019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86" name="Check Box 188" hidden="1">
          <a:extLst>
            <a:ext uri="{63B3BB69-23CF-44E3-9099-C40C66FF867C}">
              <a14:compatExt xmlns:a14="http://schemas.microsoft.com/office/drawing/2010/main" spid="_x0000_s5308"/>
            </a:ext>
            <a:ext uri="{FF2B5EF4-FFF2-40B4-BE49-F238E27FC236}">
              <a16:creationId xmlns:a16="http://schemas.microsoft.com/office/drawing/2014/main" id="{00000000-0008-0000-0500-00001A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87" name="Check Box 189" hidden="1">
          <a:extLst>
            <a:ext uri="{63B3BB69-23CF-44E3-9099-C40C66FF867C}">
              <a14:compatExt xmlns:a14="http://schemas.microsoft.com/office/drawing/2010/main" spid="_x0000_s5309"/>
            </a:ext>
            <a:ext uri="{FF2B5EF4-FFF2-40B4-BE49-F238E27FC236}">
              <a16:creationId xmlns:a16="http://schemas.microsoft.com/office/drawing/2014/main" id="{00000000-0008-0000-0500-00001B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88" name="Check Box 190" hidden="1">
          <a:extLst>
            <a:ext uri="{63B3BB69-23CF-44E3-9099-C40C66FF867C}">
              <a14:compatExt xmlns:a14="http://schemas.microsoft.com/office/drawing/2010/main" spid="_x0000_s5310"/>
            </a:ext>
            <a:ext uri="{FF2B5EF4-FFF2-40B4-BE49-F238E27FC236}">
              <a16:creationId xmlns:a16="http://schemas.microsoft.com/office/drawing/2014/main" id="{00000000-0008-0000-0500-00001C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89" name="Check Box 191" hidden="1">
          <a:extLst>
            <a:ext uri="{63B3BB69-23CF-44E3-9099-C40C66FF867C}">
              <a14:compatExt xmlns:a14="http://schemas.microsoft.com/office/drawing/2010/main" spid="_x0000_s5311"/>
            </a:ext>
            <a:ext uri="{FF2B5EF4-FFF2-40B4-BE49-F238E27FC236}">
              <a16:creationId xmlns:a16="http://schemas.microsoft.com/office/drawing/2014/main" id="{00000000-0008-0000-0500-00001D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90" name="Check Box 192" hidden="1">
          <a:extLst>
            <a:ext uri="{63B3BB69-23CF-44E3-9099-C40C66FF867C}">
              <a14:compatExt xmlns:a14="http://schemas.microsoft.com/office/drawing/2010/main" spid="_x0000_s5312"/>
            </a:ext>
            <a:ext uri="{FF2B5EF4-FFF2-40B4-BE49-F238E27FC236}">
              <a16:creationId xmlns:a16="http://schemas.microsoft.com/office/drawing/2014/main" id="{00000000-0008-0000-0500-00001E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391" name="Check Box 193" hidden="1">
          <a:extLst>
            <a:ext uri="{63B3BB69-23CF-44E3-9099-C40C66FF867C}">
              <a14:compatExt xmlns:a14="http://schemas.microsoft.com/office/drawing/2010/main" spid="_x0000_s5313"/>
            </a:ext>
            <a:ext uri="{FF2B5EF4-FFF2-40B4-BE49-F238E27FC236}">
              <a16:creationId xmlns:a16="http://schemas.microsoft.com/office/drawing/2014/main" id="{00000000-0008-0000-0500-00001F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92" name="Check Box 194" hidden="1">
          <a:extLst>
            <a:ext uri="{63B3BB69-23CF-44E3-9099-C40C66FF867C}">
              <a14:compatExt xmlns:a14="http://schemas.microsoft.com/office/drawing/2010/main" spid="_x0000_s5314"/>
            </a:ext>
            <a:ext uri="{FF2B5EF4-FFF2-40B4-BE49-F238E27FC236}">
              <a16:creationId xmlns:a16="http://schemas.microsoft.com/office/drawing/2014/main" id="{00000000-0008-0000-0500-000020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93" name="Check Box 195" hidden="1">
          <a:extLst>
            <a:ext uri="{63B3BB69-23CF-44E3-9099-C40C66FF867C}">
              <a14:compatExt xmlns:a14="http://schemas.microsoft.com/office/drawing/2010/main" spid="_x0000_s5315"/>
            </a:ext>
            <a:ext uri="{FF2B5EF4-FFF2-40B4-BE49-F238E27FC236}">
              <a16:creationId xmlns:a16="http://schemas.microsoft.com/office/drawing/2014/main" id="{00000000-0008-0000-0500-000021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94" name="Check Box 196" hidden="1">
          <a:extLst>
            <a:ext uri="{63B3BB69-23CF-44E3-9099-C40C66FF867C}">
              <a14:compatExt xmlns:a14="http://schemas.microsoft.com/office/drawing/2010/main" spid="_x0000_s5316"/>
            </a:ext>
            <a:ext uri="{FF2B5EF4-FFF2-40B4-BE49-F238E27FC236}">
              <a16:creationId xmlns:a16="http://schemas.microsoft.com/office/drawing/2014/main" id="{00000000-0008-0000-0500-000022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395" name="Check Box 197" hidden="1">
          <a:extLst>
            <a:ext uri="{63B3BB69-23CF-44E3-9099-C40C66FF867C}">
              <a14:compatExt xmlns:a14="http://schemas.microsoft.com/office/drawing/2010/main" spid="_x0000_s5317"/>
            </a:ext>
            <a:ext uri="{FF2B5EF4-FFF2-40B4-BE49-F238E27FC236}">
              <a16:creationId xmlns:a16="http://schemas.microsoft.com/office/drawing/2014/main" id="{00000000-0008-0000-0500-000023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342900"/>
    <xdr:sp macro="" textlink="">
      <xdr:nvSpPr>
        <xdr:cNvPr id="15396" name="Check Box 198" hidden="1">
          <a:extLst>
            <a:ext uri="{63B3BB69-23CF-44E3-9099-C40C66FF867C}">
              <a14:compatExt xmlns:a14="http://schemas.microsoft.com/office/drawing/2010/main" spid="_x0000_s5318"/>
            </a:ext>
            <a:ext uri="{FF2B5EF4-FFF2-40B4-BE49-F238E27FC236}">
              <a16:creationId xmlns:a16="http://schemas.microsoft.com/office/drawing/2014/main" id="{00000000-0008-0000-0500-0000243C0000}"/>
            </a:ext>
          </a:extLst>
        </xdr:cNvPr>
        <xdr:cNvSpPr/>
      </xdr:nvSpPr>
      <xdr:spPr bwMode="auto">
        <a:xfrm>
          <a:off x="13224510"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97" name="Check Box 199" hidden="1">
          <a:extLst>
            <a:ext uri="{63B3BB69-23CF-44E3-9099-C40C66FF867C}">
              <a14:compatExt xmlns:a14="http://schemas.microsoft.com/office/drawing/2010/main" spid="_x0000_s5319"/>
            </a:ext>
            <a:ext uri="{FF2B5EF4-FFF2-40B4-BE49-F238E27FC236}">
              <a16:creationId xmlns:a16="http://schemas.microsoft.com/office/drawing/2014/main" id="{00000000-0008-0000-0500-000025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98" name="Check Box 200" hidden="1">
          <a:extLst>
            <a:ext uri="{63B3BB69-23CF-44E3-9099-C40C66FF867C}">
              <a14:compatExt xmlns:a14="http://schemas.microsoft.com/office/drawing/2010/main" spid="_x0000_s5320"/>
            </a:ext>
            <a:ext uri="{FF2B5EF4-FFF2-40B4-BE49-F238E27FC236}">
              <a16:creationId xmlns:a16="http://schemas.microsoft.com/office/drawing/2014/main" id="{00000000-0008-0000-0500-000026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399" name="Check Box 201" hidden="1">
          <a:extLst>
            <a:ext uri="{63B3BB69-23CF-44E3-9099-C40C66FF867C}">
              <a14:compatExt xmlns:a14="http://schemas.microsoft.com/office/drawing/2010/main" spid="_x0000_s5321"/>
            </a:ext>
            <a:ext uri="{FF2B5EF4-FFF2-40B4-BE49-F238E27FC236}">
              <a16:creationId xmlns:a16="http://schemas.microsoft.com/office/drawing/2014/main" id="{00000000-0008-0000-0500-000027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00" name="Check Box 202" hidden="1">
          <a:extLst>
            <a:ext uri="{63B3BB69-23CF-44E3-9099-C40C66FF867C}">
              <a14:compatExt xmlns:a14="http://schemas.microsoft.com/office/drawing/2010/main" spid="_x0000_s5322"/>
            </a:ext>
            <a:ext uri="{FF2B5EF4-FFF2-40B4-BE49-F238E27FC236}">
              <a16:creationId xmlns:a16="http://schemas.microsoft.com/office/drawing/2014/main" id="{00000000-0008-0000-0500-000028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01" name="Check Box 203" hidden="1">
          <a:extLst>
            <a:ext uri="{63B3BB69-23CF-44E3-9099-C40C66FF867C}">
              <a14:compatExt xmlns:a14="http://schemas.microsoft.com/office/drawing/2010/main" spid="_x0000_s5323"/>
            </a:ext>
            <a:ext uri="{FF2B5EF4-FFF2-40B4-BE49-F238E27FC236}">
              <a16:creationId xmlns:a16="http://schemas.microsoft.com/office/drawing/2014/main" id="{00000000-0008-0000-0500-000029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402"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500-00002A3C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03"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500-00002B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04"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500-00002C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05"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500-00002D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06"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500-00002E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07"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500-00002F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408"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500-000030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09"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500-000031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10"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500-000032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11"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500-000033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12"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500-000034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13"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500-000035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414"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500-000036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15"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500-000037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16"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500-000038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17"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500-000039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18"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500-00003A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19" name="Check Box 221" hidden="1">
          <a:extLst>
            <a:ext uri="{63B3BB69-23CF-44E3-9099-C40C66FF867C}">
              <a14:compatExt xmlns:a14="http://schemas.microsoft.com/office/drawing/2010/main" spid="_x0000_s5341"/>
            </a:ext>
            <a:ext uri="{FF2B5EF4-FFF2-40B4-BE49-F238E27FC236}">
              <a16:creationId xmlns:a16="http://schemas.microsoft.com/office/drawing/2014/main" id="{00000000-0008-0000-0500-00003B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20"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500-00003C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1383030"/>
    <xdr:sp macro="" textlink="">
      <xdr:nvSpPr>
        <xdr:cNvPr id="15421"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500-00003D3C0000}"/>
            </a:ext>
          </a:extLst>
        </xdr:cNvPr>
        <xdr:cNvSpPr/>
      </xdr:nvSpPr>
      <xdr:spPr bwMode="auto">
        <a:xfrm>
          <a:off x="13224510" y="42237660"/>
          <a:ext cx="333375"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83030"/>
    <xdr:sp macro="" textlink="">
      <xdr:nvSpPr>
        <xdr:cNvPr id="15422"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500-00003E3C0000}"/>
            </a:ext>
          </a:extLst>
        </xdr:cNvPr>
        <xdr:cNvSpPr/>
      </xdr:nvSpPr>
      <xdr:spPr bwMode="auto">
        <a:xfrm>
          <a:off x="13205460" y="42237660"/>
          <a:ext cx="342900"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16355"/>
    <xdr:sp macro="" textlink="">
      <xdr:nvSpPr>
        <xdr:cNvPr id="15423"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500-00003F3C0000}"/>
            </a:ext>
          </a:extLst>
        </xdr:cNvPr>
        <xdr:cNvSpPr/>
      </xdr:nvSpPr>
      <xdr:spPr bwMode="auto">
        <a:xfrm>
          <a:off x="13205460" y="42237660"/>
          <a:ext cx="342900" cy="13163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25880"/>
    <xdr:sp macro="" textlink="">
      <xdr:nvSpPr>
        <xdr:cNvPr id="15424"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500-0000403C0000}"/>
            </a:ext>
          </a:extLst>
        </xdr:cNvPr>
        <xdr:cNvSpPr/>
      </xdr:nvSpPr>
      <xdr:spPr bwMode="auto">
        <a:xfrm>
          <a:off x="13205460" y="42237660"/>
          <a:ext cx="342900" cy="1325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44930"/>
    <xdr:sp macro="" textlink="">
      <xdr:nvSpPr>
        <xdr:cNvPr id="15425"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500-0000413C0000}"/>
            </a:ext>
          </a:extLst>
        </xdr:cNvPr>
        <xdr:cNvSpPr/>
      </xdr:nvSpPr>
      <xdr:spPr bwMode="auto">
        <a:xfrm>
          <a:off x="13205460" y="42237660"/>
          <a:ext cx="342900" cy="13449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2247900"/>
    <xdr:sp macro="" textlink="">
      <xdr:nvSpPr>
        <xdr:cNvPr id="15426" name="Check Box 228" hidden="1">
          <a:extLst>
            <a:ext uri="{63B3BB69-23CF-44E3-9099-C40C66FF867C}">
              <a14:compatExt xmlns:a14="http://schemas.microsoft.com/office/drawing/2010/main" spid="_x0000_s5348"/>
            </a:ext>
            <a:ext uri="{FF2B5EF4-FFF2-40B4-BE49-F238E27FC236}">
              <a16:creationId xmlns:a16="http://schemas.microsoft.com/office/drawing/2014/main" id="{00000000-0008-0000-0500-0000423C0000}"/>
            </a:ext>
          </a:extLst>
        </xdr:cNvPr>
        <xdr:cNvSpPr/>
      </xdr:nvSpPr>
      <xdr:spPr bwMode="auto">
        <a:xfrm>
          <a:off x="13205460" y="42237660"/>
          <a:ext cx="342900" cy="2247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1611630"/>
    <xdr:sp macro="" textlink="">
      <xdr:nvSpPr>
        <xdr:cNvPr id="15427"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500-0000433C0000}"/>
            </a:ext>
          </a:extLst>
        </xdr:cNvPr>
        <xdr:cNvSpPr/>
      </xdr:nvSpPr>
      <xdr:spPr bwMode="auto">
        <a:xfrm>
          <a:off x="13214985" y="42237660"/>
          <a:ext cx="333375" cy="1611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602105"/>
    <xdr:sp macro="" textlink="">
      <xdr:nvSpPr>
        <xdr:cNvPr id="15428"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500-0000443C0000}"/>
            </a:ext>
          </a:extLst>
        </xdr:cNvPr>
        <xdr:cNvSpPr/>
      </xdr:nvSpPr>
      <xdr:spPr bwMode="auto">
        <a:xfrm>
          <a:off x="13205460" y="42237660"/>
          <a:ext cx="342900" cy="16021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44955"/>
    <xdr:sp macro="" textlink="">
      <xdr:nvSpPr>
        <xdr:cNvPr id="15429"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500-0000453C0000}"/>
            </a:ext>
          </a:extLst>
        </xdr:cNvPr>
        <xdr:cNvSpPr/>
      </xdr:nvSpPr>
      <xdr:spPr bwMode="auto">
        <a:xfrm>
          <a:off x="13205460" y="4223766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44955"/>
    <xdr:sp macro="" textlink="">
      <xdr:nvSpPr>
        <xdr:cNvPr id="15430"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500-0000463C0000}"/>
            </a:ext>
          </a:extLst>
        </xdr:cNvPr>
        <xdr:cNvSpPr/>
      </xdr:nvSpPr>
      <xdr:spPr bwMode="auto">
        <a:xfrm>
          <a:off x="13205460" y="4223766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44955"/>
    <xdr:sp macro="" textlink="">
      <xdr:nvSpPr>
        <xdr:cNvPr id="15431"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500-0000473C0000}"/>
            </a:ext>
          </a:extLst>
        </xdr:cNvPr>
        <xdr:cNvSpPr/>
      </xdr:nvSpPr>
      <xdr:spPr bwMode="auto">
        <a:xfrm>
          <a:off x="13205460" y="4223766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2472690"/>
    <xdr:sp macro="" textlink="">
      <xdr:nvSpPr>
        <xdr:cNvPr id="15432" name="Check Box 234" hidden="1">
          <a:extLst>
            <a:ext uri="{63B3BB69-23CF-44E3-9099-C40C66FF867C}">
              <a14:compatExt xmlns:a14="http://schemas.microsoft.com/office/drawing/2010/main" spid="_x0000_s5354"/>
            </a:ext>
            <a:ext uri="{FF2B5EF4-FFF2-40B4-BE49-F238E27FC236}">
              <a16:creationId xmlns:a16="http://schemas.microsoft.com/office/drawing/2014/main" id="{00000000-0008-0000-0500-0000483C0000}"/>
            </a:ext>
          </a:extLst>
        </xdr:cNvPr>
        <xdr:cNvSpPr/>
      </xdr:nvSpPr>
      <xdr:spPr bwMode="auto">
        <a:xfrm>
          <a:off x="13205460" y="42237660"/>
          <a:ext cx="342900" cy="24726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1535430"/>
    <xdr:sp macro="" textlink="">
      <xdr:nvSpPr>
        <xdr:cNvPr id="15433" name="Check Box 235" hidden="1">
          <a:extLst>
            <a:ext uri="{63B3BB69-23CF-44E3-9099-C40C66FF867C}">
              <a14:compatExt xmlns:a14="http://schemas.microsoft.com/office/drawing/2010/main" spid="_x0000_s5355"/>
            </a:ext>
            <a:ext uri="{FF2B5EF4-FFF2-40B4-BE49-F238E27FC236}">
              <a16:creationId xmlns:a16="http://schemas.microsoft.com/office/drawing/2014/main" id="{00000000-0008-0000-0500-0000493C0000}"/>
            </a:ext>
          </a:extLst>
        </xdr:cNvPr>
        <xdr:cNvSpPr/>
      </xdr:nvSpPr>
      <xdr:spPr bwMode="auto">
        <a:xfrm>
          <a:off x="13176885" y="42237660"/>
          <a:ext cx="333375" cy="15354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1525905"/>
    <xdr:sp macro="" textlink="">
      <xdr:nvSpPr>
        <xdr:cNvPr id="15434" name="Check Box 236" hidden="1">
          <a:extLst>
            <a:ext uri="{63B3BB69-23CF-44E3-9099-C40C66FF867C}">
              <a14:compatExt xmlns:a14="http://schemas.microsoft.com/office/drawing/2010/main" spid="_x0000_s5356"/>
            </a:ext>
            <a:ext uri="{FF2B5EF4-FFF2-40B4-BE49-F238E27FC236}">
              <a16:creationId xmlns:a16="http://schemas.microsoft.com/office/drawing/2014/main" id="{00000000-0008-0000-0500-00004A3C0000}"/>
            </a:ext>
          </a:extLst>
        </xdr:cNvPr>
        <xdr:cNvSpPr/>
      </xdr:nvSpPr>
      <xdr:spPr bwMode="auto">
        <a:xfrm>
          <a:off x="13167360" y="42237660"/>
          <a:ext cx="342900" cy="15259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1478280"/>
    <xdr:sp macro="" textlink="">
      <xdr:nvSpPr>
        <xdr:cNvPr id="15435" name="Check Box 237" hidden="1">
          <a:extLst>
            <a:ext uri="{63B3BB69-23CF-44E3-9099-C40C66FF867C}">
              <a14:compatExt xmlns:a14="http://schemas.microsoft.com/office/drawing/2010/main" spid="_x0000_s5357"/>
            </a:ext>
            <a:ext uri="{FF2B5EF4-FFF2-40B4-BE49-F238E27FC236}">
              <a16:creationId xmlns:a16="http://schemas.microsoft.com/office/drawing/2014/main" id="{00000000-0008-0000-0500-00004B3C0000}"/>
            </a:ext>
          </a:extLst>
        </xdr:cNvPr>
        <xdr:cNvSpPr/>
      </xdr:nvSpPr>
      <xdr:spPr bwMode="auto">
        <a:xfrm>
          <a:off x="13167360" y="42237660"/>
          <a:ext cx="342900" cy="14782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1468755"/>
    <xdr:sp macro="" textlink="">
      <xdr:nvSpPr>
        <xdr:cNvPr id="15436" name="Check Box 238" hidden="1">
          <a:extLst>
            <a:ext uri="{63B3BB69-23CF-44E3-9099-C40C66FF867C}">
              <a14:compatExt xmlns:a14="http://schemas.microsoft.com/office/drawing/2010/main" spid="_x0000_s5358"/>
            </a:ext>
            <a:ext uri="{FF2B5EF4-FFF2-40B4-BE49-F238E27FC236}">
              <a16:creationId xmlns:a16="http://schemas.microsoft.com/office/drawing/2014/main" id="{00000000-0008-0000-0500-00004C3C0000}"/>
            </a:ext>
          </a:extLst>
        </xdr:cNvPr>
        <xdr:cNvSpPr/>
      </xdr:nvSpPr>
      <xdr:spPr bwMode="auto">
        <a:xfrm>
          <a:off x="13167360" y="4223766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1468755"/>
    <xdr:sp macro="" textlink="">
      <xdr:nvSpPr>
        <xdr:cNvPr id="15437" name="Check Box 239" hidden="1">
          <a:extLst>
            <a:ext uri="{63B3BB69-23CF-44E3-9099-C40C66FF867C}">
              <a14:compatExt xmlns:a14="http://schemas.microsoft.com/office/drawing/2010/main" spid="_x0000_s5359"/>
            </a:ext>
            <a:ext uri="{FF2B5EF4-FFF2-40B4-BE49-F238E27FC236}">
              <a16:creationId xmlns:a16="http://schemas.microsoft.com/office/drawing/2014/main" id="{00000000-0008-0000-0500-00004D3C0000}"/>
            </a:ext>
          </a:extLst>
        </xdr:cNvPr>
        <xdr:cNvSpPr/>
      </xdr:nvSpPr>
      <xdr:spPr bwMode="auto">
        <a:xfrm>
          <a:off x="13167360" y="4223766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438"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500-00004E3C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39"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500-00004F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40"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500-000050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41"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500-000051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42"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500-000052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43"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500-000053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444"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500-0000543C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45"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500-000055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46"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500-000056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47"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500-000057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48"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500-000058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49"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500-000059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450"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500-00005A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51"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500-00005B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52"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500-00005C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53"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500-00005D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54"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500-00005E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55"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500-00005F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456"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500-000060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57"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500-000061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58"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500-000062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59"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500-000063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60"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500-000064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61"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500-000065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462"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500-0000663C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63"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500-000067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64"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500-000068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65"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500-000069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66"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500-00006A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67"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500-00006B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468"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500-00006C3C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69"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500-00006D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70"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500-00006E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71"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500-00006F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72"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500-000070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73"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500-000071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474"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500-000072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75"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500-000073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76"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500-000074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77"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500-000075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78"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500-000076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79"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500-000077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480"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500-000078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81"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500-000079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82"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500-00007A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83"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500-00007B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84"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500-00007C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85"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500-00007D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486"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500-00007E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87"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500-00007F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88"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500-000080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89"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500-000081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90"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500-000082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91"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500-000083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492"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500-000084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93"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500-000085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94"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500-000086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95"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500-000087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96"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500-000088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497"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500-000089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498"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500-00008A3C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499"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500-00008B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00"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500-00008C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01"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500-00008D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02"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500-00008E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03"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500-00008F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504"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500-0000903C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05"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500-000091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06"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500-000092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07"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500-000093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08"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500-000094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09"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500-000095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1390650"/>
    <xdr:sp macro="" textlink="">
      <xdr:nvSpPr>
        <xdr:cNvPr id="15510"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500-0000963C0000}"/>
            </a:ext>
          </a:extLst>
        </xdr:cNvPr>
        <xdr:cNvSpPr/>
      </xdr:nvSpPr>
      <xdr:spPr bwMode="auto">
        <a:xfrm>
          <a:off x="13224510" y="4223766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90650"/>
    <xdr:sp macro="" textlink="">
      <xdr:nvSpPr>
        <xdr:cNvPr id="15511"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500-0000973C0000}"/>
            </a:ext>
          </a:extLst>
        </xdr:cNvPr>
        <xdr:cNvSpPr/>
      </xdr:nvSpPr>
      <xdr:spPr bwMode="auto">
        <a:xfrm>
          <a:off x="13205460" y="4223766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23975"/>
    <xdr:sp macro="" textlink="">
      <xdr:nvSpPr>
        <xdr:cNvPr id="15512"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500-0000983C0000}"/>
            </a:ext>
          </a:extLst>
        </xdr:cNvPr>
        <xdr:cNvSpPr/>
      </xdr:nvSpPr>
      <xdr:spPr bwMode="auto">
        <a:xfrm>
          <a:off x="13205460" y="4223766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33500"/>
    <xdr:sp macro="" textlink="">
      <xdr:nvSpPr>
        <xdr:cNvPr id="15513"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500-0000993C0000}"/>
            </a:ext>
          </a:extLst>
        </xdr:cNvPr>
        <xdr:cNvSpPr/>
      </xdr:nvSpPr>
      <xdr:spPr bwMode="auto">
        <a:xfrm>
          <a:off x="13205460" y="4223766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52550"/>
    <xdr:sp macro="" textlink="">
      <xdr:nvSpPr>
        <xdr:cNvPr id="15514"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500-00009A3C0000}"/>
            </a:ext>
          </a:extLst>
        </xdr:cNvPr>
        <xdr:cNvSpPr/>
      </xdr:nvSpPr>
      <xdr:spPr bwMode="auto">
        <a:xfrm>
          <a:off x="13205460" y="4223766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515"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500-00009B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16"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500-00009C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17"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500-00009D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18"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500-00009E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19"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500-00009F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20"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500-0000A0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521"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500-0000A1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22"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500-0000A2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23"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500-0000A3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24"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500-0000A4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25"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500-0000A5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26"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500-0000A6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527"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500-0000A7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28"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500-0000A8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29"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500-0000A9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30"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500-0000AA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31"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500-0000AB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32"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500-0000AC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533"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500-0000AD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34"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500-0000AE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35"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500-0000AF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36"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500-0000B0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37"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500-0000B1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38"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500-0000B2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539"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500-0000B33C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40"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500-0000B4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41"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500-0000B5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42"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500-0000B6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43"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500-0000B7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44"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500-0000B8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545"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500-0000B93C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46"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500-0000BA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47"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500-0000BB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48"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500-0000BC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49"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500-0000BD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50"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500-0000BE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1619250"/>
    <xdr:sp macro="" textlink="">
      <xdr:nvSpPr>
        <xdr:cNvPr id="15551"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500-0000BF3C0000}"/>
            </a:ext>
          </a:extLst>
        </xdr:cNvPr>
        <xdr:cNvSpPr/>
      </xdr:nvSpPr>
      <xdr:spPr bwMode="auto">
        <a:xfrm>
          <a:off x="13214985" y="42237660"/>
          <a:ext cx="333375" cy="1619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609725"/>
    <xdr:sp macro="" textlink="">
      <xdr:nvSpPr>
        <xdr:cNvPr id="15552"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500-0000C03C0000}"/>
            </a:ext>
          </a:extLst>
        </xdr:cNvPr>
        <xdr:cNvSpPr/>
      </xdr:nvSpPr>
      <xdr:spPr bwMode="auto">
        <a:xfrm>
          <a:off x="13205460" y="42237660"/>
          <a:ext cx="342900" cy="16097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52575"/>
    <xdr:sp macro="" textlink="">
      <xdr:nvSpPr>
        <xdr:cNvPr id="15553"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500-0000C13C0000}"/>
            </a:ext>
          </a:extLst>
        </xdr:cNvPr>
        <xdr:cNvSpPr/>
      </xdr:nvSpPr>
      <xdr:spPr bwMode="auto">
        <a:xfrm>
          <a:off x="13205460" y="4223766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52575"/>
    <xdr:sp macro="" textlink="">
      <xdr:nvSpPr>
        <xdr:cNvPr id="15554"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500-0000C23C0000}"/>
            </a:ext>
          </a:extLst>
        </xdr:cNvPr>
        <xdr:cNvSpPr/>
      </xdr:nvSpPr>
      <xdr:spPr bwMode="auto">
        <a:xfrm>
          <a:off x="13205460" y="4223766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52575"/>
    <xdr:sp macro="" textlink="">
      <xdr:nvSpPr>
        <xdr:cNvPr id="15555"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500-0000C33C0000}"/>
            </a:ext>
          </a:extLst>
        </xdr:cNvPr>
        <xdr:cNvSpPr/>
      </xdr:nvSpPr>
      <xdr:spPr bwMode="auto">
        <a:xfrm>
          <a:off x="13205460" y="4223766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1390650"/>
    <xdr:sp macro="" textlink="">
      <xdr:nvSpPr>
        <xdr:cNvPr id="15556"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500-0000C43C0000}"/>
            </a:ext>
          </a:extLst>
        </xdr:cNvPr>
        <xdr:cNvSpPr/>
      </xdr:nvSpPr>
      <xdr:spPr bwMode="auto">
        <a:xfrm>
          <a:off x="13224510" y="4223766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90650"/>
    <xdr:sp macro="" textlink="">
      <xdr:nvSpPr>
        <xdr:cNvPr id="15557"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500-0000C53C0000}"/>
            </a:ext>
          </a:extLst>
        </xdr:cNvPr>
        <xdr:cNvSpPr/>
      </xdr:nvSpPr>
      <xdr:spPr bwMode="auto">
        <a:xfrm>
          <a:off x="13205460" y="4223766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23975"/>
    <xdr:sp macro="" textlink="">
      <xdr:nvSpPr>
        <xdr:cNvPr id="15558"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500-0000C63C0000}"/>
            </a:ext>
          </a:extLst>
        </xdr:cNvPr>
        <xdr:cNvSpPr/>
      </xdr:nvSpPr>
      <xdr:spPr bwMode="auto">
        <a:xfrm>
          <a:off x="13205460" y="4223766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33500"/>
    <xdr:sp macro="" textlink="">
      <xdr:nvSpPr>
        <xdr:cNvPr id="15559"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500-0000C73C0000}"/>
            </a:ext>
          </a:extLst>
        </xdr:cNvPr>
        <xdr:cNvSpPr/>
      </xdr:nvSpPr>
      <xdr:spPr bwMode="auto">
        <a:xfrm>
          <a:off x="13205460" y="4223766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52550"/>
    <xdr:sp macro="" textlink="">
      <xdr:nvSpPr>
        <xdr:cNvPr id="15560"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500-0000C83C0000}"/>
            </a:ext>
          </a:extLst>
        </xdr:cNvPr>
        <xdr:cNvSpPr/>
      </xdr:nvSpPr>
      <xdr:spPr bwMode="auto">
        <a:xfrm>
          <a:off x="13205460" y="4223766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561"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500-0000C9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62"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500-0000CA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63"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500-0000CB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64"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500-0000CC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65"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500-0000CD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66"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500-0000CE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567"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500-0000CF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68"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500-0000D0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69"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500-0000D1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70"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500-0000D2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71"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500-0000D3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72"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500-0000D4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573"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500-0000D5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74"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500-0000D6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75"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500-0000D7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76"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500-0000D8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77"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500-0000D9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78"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500-0000DA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579"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500-0000DB3C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80"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500-0000DC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81"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500-0000DD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82"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500-0000DE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83"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500-0000DF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584"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500-0000E03C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585"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500-0000E13C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86"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500-0000E2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87"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500-0000E3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88"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500-0000E4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89"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500-0000E5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90"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500-0000E6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591"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500-0000E73C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92"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500-0000E8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93"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500-0000E9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94"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500-0000EA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95"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500-0000EB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596"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500-0000EC3C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342900"/>
    <xdr:sp macro="" textlink="">
      <xdr:nvSpPr>
        <xdr:cNvPr id="15601"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500-0000F13C0000}"/>
            </a:ext>
          </a:extLst>
        </xdr:cNvPr>
        <xdr:cNvSpPr/>
      </xdr:nvSpPr>
      <xdr:spPr bwMode="auto">
        <a:xfrm>
          <a:off x="13224510" y="244830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02"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500-0000F23C0000}"/>
            </a:ext>
          </a:extLst>
        </xdr:cNvPr>
        <xdr:cNvSpPr/>
      </xdr:nvSpPr>
      <xdr:spPr bwMode="auto">
        <a:xfrm>
          <a:off x="13205460" y="246640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03"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500-0000F33C0000}"/>
            </a:ext>
          </a:extLst>
        </xdr:cNvPr>
        <xdr:cNvSpPr/>
      </xdr:nvSpPr>
      <xdr:spPr bwMode="auto">
        <a:xfrm>
          <a:off x="13205460" y="259727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04"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500-0000F43C0000}"/>
            </a:ext>
          </a:extLst>
        </xdr:cNvPr>
        <xdr:cNvSpPr/>
      </xdr:nvSpPr>
      <xdr:spPr bwMode="auto">
        <a:xfrm>
          <a:off x="13205460" y="2720530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05"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500-0000F53C0000}"/>
            </a:ext>
          </a:extLst>
        </xdr:cNvPr>
        <xdr:cNvSpPr/>
      </xdr:nvSpPr>
      <xdr:spPr bwMode="auto">
        <a:xfrm>
          <a:off x="13205460" y="2842831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06"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F63C0000}"/>
            </a:ext>
          </a:extLst>
        </xdr:cNvPr>
        <xdr:cNvSpPr/>
      </xdr:nvSpPr>
      <xdr:spPr bwMode="auto">
        <a:xfrm>
          <a:off x="13205460" y="294513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28</xdr:row>
          <xdr:rowOff>419100</xdr:rowOff>
        </xdr:from>
        <xdr:to>
          <xdr:col>6</xdr:col>
          <xdr:colOff>1019175</xdr:colOff>
          <xdr:row>28</xdr:row>
          <xdr:rowOff>762000</xdr:rowOff>
        </xdr:to>
        <xdr:sp macro="" textlink="">
          <xdr:nvSpPr>
            <xdr:cNvPr id="5" name="Check Box 13" hidden="1">
              <a:extLst>
                <a:ext uri="{63B3BB69-23CF-44E3-9099-C40C66FF867C}">
                  <a14:compatExt spid="_x0000_s15373"/>
                </a:ext>
                <a:ext uri="{FF2B5EF4-FFF2-40B4-BE49-F238E27FC236}">
                  <a16:creationId xmlns:a16="http://schemas.microsoft.com/office/drawing/2014/main" id="{00000000-0008-0000-05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29</xdr:row>
          <xdr:rowOff>485775</xdr:rowOff>
        </xdr:from>
        <xdr:to>
          <xdr:col>6</xdr:col>
          <xdr:colOff>1019175</xdr:colOff>
          <xdr:row>29</xdr:row>
          <xdr:rowOff>828675</xdr:rowOff>
        </xdr:to>
        <xdr:sp macro="" textlink="">
          <xdr:nvSpPr>
            <xdr:cNvPr id="15683" name="Check Box 14" hidden="1">
              <a:extLst>
                <a:ext uri="{63B3BB69-23CF-44E3-9099-C40C66FF867C}">
                  <a14:compatExt spid="_x0000_s15374"/>
                </a:ext>
                <a:ext uri="{FF2B5EF4-FFF2-40B4-BE49-F238E27FC236}">
                  <a16:creationId xmlns:a16="http://schemas.microsoft.com/office/drawing/2014/main" id="{00000000-0008-0000-0500-0000433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30</xdr:row>
          <xdr:rowOff>485775</xdr:rowOff>
        </xdr:from>
        <xdr:to>
          <xdr:col>6</xdr:col>
          <xdr:colOff>1019175</xdr:colOff>
          <xdr:row>30</xdr:row>
          <xdr:rowOff>828675</xdr:rowOff>
        </xdr:to>
        <xdr:sp macro="" textlink="">
          <xdr:nvSpPr>
            <xdr:cNvPr id="15684" name="Check Box 15" hidden="1">
              <a:extLst>
                <a:ext uri="{63B3BB69-23CF-44E3-9099-C40C66FF867C}">
                  <a14:compatExt spid="_x0000_s15375"/>
                </a:ext>
                <a:ext uri="{FF2B5EF4-FFF2-40B4-BE49-F238E27FC236}">
                  <a16:creationId xmlns:a16="http://schemas.microsoft.com/office/drawing/2014/main" id="{00000000-0008-0000-0500-0000443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31</xdr:row>
          <xdr:rowOff>457200</xdr:rowOff>
        </xdr:from>
        <xdr:to>
          <xdr:col>6</xdr:col>
          <xdr:colOff>1019175</xdr:colOff>
          <xdr:row>31</xdr:row>
          <xdr:rowOff>809625</xdr:rowOff>
        </xdr:to>
        <xdr:sp macro="" textlink="">
          <xdr:nvSpPr>
            <xdr:cNvPr id="15685" name="Check Box 16" hidden="1">
              <a:extLst>
                <a:ext uri="{63B3BB69-23CF-44E3-9099-C40C66FF867C}">
                  <a14:compatExt spid="_x0000_s15376"/>
                </a:ext>
                <a:ext uri="{FF2B5EF4-FFF2-40B4-BE49-F238E27FC236}">
                  <a16:creationId xmlns:a16="http://schemas.microsoft.com/office/drawing/2014/main" id="{00000000-0008-0000-0500-0000453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28</xdr:row>
      <xdr:rowOff>0</xdr:rowOff>
    </xdr:from>
    <xdr:ext cx="333375" cy="342900"/>
    <xdr:sp macro="" textlink="">
      <xdr:nvSpPr>
        <xdr:cNvPr id="15611"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500-0000FB3C0000}"/>
            </a:ext>
          </a:extLst>
        </xdr:cNvPr>
        <xdr:cNvSpPr/>
      </xdr:nvSpPr>
      <xdr:spPr bwMode="auto">
        <a:xfrm>
          <a:off x="13224510" y="179679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28</xdr:row>
      <xdr:rowOff>180975</xdr:rowOff>
    </xdr:from>
    <xdr:ext cx="342900" cy="342900"/>
    <xdr:sp macro="" textlink="">
      <xdr:nvSpPr>
        <xdr:cNvPr id="15612"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500-0000FC3C0000}"/>
            </a:ext>
          </a:extLst>
        </xdr:cNvPr>
        <xdr:cNvSpPr/>
      </xdr:nvSpPr>
      <xdr:spPr bwMode="auto">
        <a:xfrm>
          <a:off x="13205460" y="181489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29</xdr:row>
      <xdr:rowOff>247650</xdr:rowOff>
    </xdr:from>
    <xdr:ext cx="342900" cy="342900"/>
    <xdr:sp macro="" textlink="">
      <xdr:nvSpPr>
        <xdr:cNvPr id="15613"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500-0000FD3C0000}"/>
            </a:ext>
          </a:extLst>
        </xdr:cNvPr>
        <xdr:cNvSpPr/>
      </xdr:nvSpPr>
      <xdr:spPr bwMode="auto">
        <a:xfrm>
          <a:off x="13205460" y="194576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30</xdr:row>
      <xdr:rowOff>238125</xdr:rowOff>
    </xdr:from>
    <xdr:ext cx="342900" cy="342900"/>
    <xdr:sp macro="" textlink="">
      <xdr:nvSpPr>
        <xdr:cNvPr id="15614"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500-0000FE3C0000}"/>
            </a:ext>
          </a:extLst>
        </xdr:cNvPr>
        <xdr:cNvSpPr/>
      </xdr:nvSpPr>
      <xdr:spPr bwMode="auto">
        <a:xfrm>
          <a:off x="13205460" y="2069020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31</xdr:row>
      <xdr:rowOff>219075</xdr:rowOff>
    </xdr:from>
    <xdr:ext cx="342900" cy="342900"/>
    <xdr:sp macro="" textlink="">
      <xdr:nvSpPr>
        <xdr:cNvPr id="15615"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500-0000FF3C0000}"/>
            </a:ext>
          </a:extLst>
        </xdr:cNvPr>
        <xdr:cNvSpPr/>
      </xdr:nvSpPr>
      <xdr:spPr bwMode="auto">
        <a:xfrm>
          <a:off x="13205460" y="2212657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16"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003D0000}"/>
            </a:ext>
          </a:extLst>
        </xdr:cNvPr>
        <xdr:cNvSpPr/>
      </xdr:nvSpPr>
      <xdr:spPr bwMode="auto">
        <a:xfrm>
          <a:off x="13205460" y="233629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22</xdr:row>
          <xdr:rowOff>333375</xdr:rowOff>
        </xdr:from>
        <xdr:to>
          <xdr:col>6</xdr:col>
          <xdr:colOff>1019175</xdr:colOff>
          <xdr:row>22</xdr:row>
          <xdr:rowOff>676275</xdr:rowOff>
        </xdr:to>
        <xdr:sp macro="" textlink="">
          <xdr:nvSpPr>
            <xdr:cNvPr id="15686" name="Check Box 17" hidden="1">
              <a:extLst>
                <a:ext uri="{63B3BB69-23CF-44E3-9099-C40C66FF867C}">
                  <a14:compatExt spid="_x0000_s15377"/>
                </a:ext>
                <a:ext uri="{FF2B5EF4-FFF2-40B4-BE49-F238E27FC236}">
                  <a16:creationId xmlns:a16="http://schemas.microsoft.com/office/drawing/2014/main" id="{00000000-0008-0000-0500-0000463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23</xdr:row>
          <xdr:rowOff>409575</xdr:rowOff>
        </xdr:from>
        <xdr:to>
          <xdr:col>6</xdr:col>
          <xdr:colOff>1019175</xdr:colOff>
          <xdr:row>23</xdr:row>
          <xdr:rowOff>752475</xdr:rowOff>
        </xdr:to>
        <xdr:sp macro="" textlink="">
          <xdr:nvSpPr>
            <xdr:cNvPr id="15687" name="Check Box 18" hidden="1">
              <a:extLst>
                <a:ext uri="{63B3BB69-23CF-44E3-9099-C40C66FF867C}">
                  <a14:compatExt spid="_x0000_s15378"/>
                </a:ext>
                <a:ext uri="{FF2B5EF4-FFF2-40B4-BE49-F238E27FC236}">
                  <a16:creationId xmlns:a16="http://schemas.microsoft.com/office/drawing/2014/main" id="{00000000-0008-0000-0500-0000473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24</xdr:row>
          <xdr:rowOff>390525</xdr:rowOff>
        </xdr:from>
        <xdr:to>
          <xdr:col>6</xdr:col>
          <xdr:colOff>1019175</xdr:colOff>
          <xdr:row>24</xdr:row>
          <xdr:rowOff>733425</xdr:rowOff>
        </xdr:to>
        <xdr:sp macro="" textlink="">
          <xdr:nvSpPr>
            <xdr:cNvPr id="15688" name="Check Box 19" hidden="1">
              <a:extLst>
                <a:ext uri="{63B3BB69-23CF-44E3-9099-C40C66FF867C}">
                  <a14:compatExt spid="_x0000_s15379"/>
                </a:ext>
                <a:ext uri="{FF2B5EF4-FFF2-40B4-BE49-F238E27FC236}">
                  <a16:creationId xmlns:a16="http://schemas.microsoft.com/office/drawing/2014/main" id="{00000000-0008-0000-0500-0000483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25</xdr:row>
          <xdr:rowOff>371475</xdr:rowOff>
        </xdr:from>
        <xdr:to>
          <xdr:col>6</xdr:col>
          <xdr:colOff>1019175</xdr:colOff>
          <xdr:row>25</xdr:row>
          <xdr:rowOff>714375</xdr:rowOff>
        </xdr:to>
        <xdr:sp macro="" textlink="">
          <xdr:nvSpPr>
            <xdr:cNvPr id="15689" name="Check Box 20" hidden="1">
              <a:extLst>
                <a:ext uri="{63B3BB69-23CF-44E3-9099-C40C66FF867C}">
                  <a14:compatExt spid="_x0000_s15380"/>
                </a:ext>
                <a:ext uri="{FF2B5EF4-FFF2-40B4-BE49-F238E27FC236}">
                  <a16:creationId xmlns:a16="http://schemas.microsoft.com/office/drawing/2014/main" id="{00000000-0008-0000-0500-0000493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22</xdr:row>
      <xdr:rowOff>0</xdr:rowOff>
    </xdr:from>
    <xdr:ext cx="333375" cy="342900"/>
    <xdr:sp macro="" textlink="">
      <xdr:nvSpPr>
        <xdr:cNvPr id="15621"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500-0000053D0000}"/>
            </a:ext>
          </a:extLst>
        </xdr:cNvPr>
        <xdr:cNvSpPr/>
      </xdr:nvSpPr>
      <xdr:spPr bwMode="auto">
        <a:xfrm>
          <a:off x="13224510" y="115671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22</xdr:row>
      <xdr:rowOff>180975</xdr:rowOff>
    </xdr:from>
    <xdr:ext cx="342900" cy="342900"/>
    <xdr:sp macro="" textlink="">
      <xdr:nvSpPr>
        <xdr:cNvPr id="15622"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500-0000063D0000}"/>
            </a:ext>
          </a:extLst>
        </xdr:cNvPr>
        <xdr:cNvSpPr/>
      </xdr:nvSpPr>
      <xdr:spPr bwMode="auto">
        <a:xfrm>
          <a:off x="13205460" y="117481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23</xdr:row>
      <xdr:rowOff>247650</xdr:rowOff>
    </xdr:from>
    <xdr:ext cx="342900" cy="342900"/>
    <xdr:sp macro="" textlink="">
      <xdr:nvSpPr>
        <xdr:cNvPr id="15623"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500-0000073D0000}"/>
            </a:ext>
          </a:extLst>
        </xdr:cNvPr>
        <xdr:cNvSpPr/>
      </xdr:nvSpPr>
      <xdr:spPr bwMode="auto">
        <a:xfrm>
          <a:off x="13205460" y="130568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24</xdr:row>
      <xdr:rowOff>238125</xdr:rowOff>
    </xdr:from>
    <xdr:ext cx="342900" cy="342900"/>
    <xdr:sp macro="" textlink="">
      <xdr:nvSpPr>
        <xdr:cNvPr id="15624"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500-0000083D0000}"/>
            </a:ext>
          </a:extLst>
        </xdr:cNvPr>
        <xdr:cNvSpPr/>
      </xdr:nvSpPr>
      <xdr:spPr bwMode="auto">
        <a:xfrm>
          <a:off x="13205460" y="1428940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25</xdr:row>
      <xdr:rowOff>219075</xdr:rowOff>
    </xdr:from>
    <xdr:ext cx="342900" cy="342900"/>
    <xdr:sp macro="" textlink="">
      <xdr:nvSpPr>
        <xdr:cNvPr id="15625"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500-0000093D0000}"/>
            </a:ext>
          </a:extLst>
        </xdr:cNvPr>
        <xdr:cNvSpPr/>
      </xdr:nvSpPr>
      <xdr:spPr bwMode="auto">
        <a:xfrm>
          <a:off x="13205460" y="1551241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5626"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0A3D0000}"/>
            </a:ext>
          </a:extLst>
        </xdr:cNvPr>
        <xdr:cNvSpPr/>
      </xdr:nvSpPr>
      <xdr:spPr bwMode="auto">
        <a:xfrm>
          <a:off x="13205460" y="167411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627"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500-00000B3D0000}"/>
            </a:ext>
          </a:extLst>
        </xdr:cNvPr>
        <xdr:cNvSpPr/>
      </xdr:nvSpPr>
      <xdr:spPr bwMode="auto">
        <a:xfrm>
          <a:off x="132149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28"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500-00000C3D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29"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500-00000D3D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30"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500-00000E3D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31"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500-00000F3D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32"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500-0000103D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5637"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500-0000153D0000}"/>
            </a:ext>
          </a:extLst>
        </xdr:cNvPr>
        <xdr:cNvSpPr/>
      </xdr:nvSpPr>
      <xdr:spPr bwMode="auto">
        <a:xfrm>
          <a:off x="13214985" y="372694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38"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500-0000163D0000}"/>
            </a:ext>
          </a:extLst>
        </xdr:cNvPr>
        <xdr:cNvSpPr/>
      </xdr:nvSpPr>
      <xdr:spPr bwMode="auto">
        <a:xfrm>
          <a:off x="13205460" y="374599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39"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500-0000173D0000}"/>
            </a:ext>
          </a:extLst>
        </xdr:cNvPr>
        <xdr:cNvSpPr/>
      </xdr:nvSpPr>
      <xdr:spPr bwMode="auto">
        <a:xfrm>
          <a:off x="13205460" y="387591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40"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500-0000183D0000}"/>
            </a:ext>
          </a:extLst>
        </xdr:cNvPr>
        <xdr:cNvSpPr/>
      </xdr:nvSpPr>
      <xdr:spPr bwMode="auto">
        <a:xfrm>
          <a:off x="13205460" y="400011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41"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500-0000193D0000}"/>
            </a:ext>
          </a:extLst>
        </xdr:cNvPr>
        <xdr:cNvSpPr/>
      </xdr:nvSpPr>
      <xdr:spPr bwMode="auto">
        <a:xfrm>
          <a:off x="13205460" y="412432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42"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500-00001A3D0000}"/>
            </a:ext>
          </a:extLst>
        </xdr:cNvPr>
        <xdr:cNvSpPr/>
      </xdr:nvSpPr>
      <xdr:spPr bwMode="auto">
        <a:xfrm>
          <a:off x="132054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643"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500-00001B3D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44"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500-00001C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45"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500-00001D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46"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500-00001E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47"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500-00001F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48"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500-000020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649"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500-0000213D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50"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500-000022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51"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500-000023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52"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500-000024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53"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500-000025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54"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500-000026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655"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500-0000273D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56"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500-000028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57"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500-000029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58"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500-00002A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59"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500-00002B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60"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500-00002C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661"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500-00002D3D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62"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500-00002E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63"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500-00002F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64"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500-000030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65"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500-000031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66"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500-000032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5667"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500-0000333D0000}"/>
            </a:ext>
          </a:extLst>
        </xdr:cNvPr>
        <xdr:cNvSpPr/>
      </xdr:nvSpPr>
      <xdr:spPr bwMode="auto">
        <a:xfrm>
          <a:off x="13176885" y="422376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68"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500-000034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69"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500-000035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70"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500-000036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71"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500-000037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5672"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500-0000383D0000}"/>
            </a:ext>
          </a:extLst>
        </xdr:cNvPr>
        <xdr:cNvSpPr/>
      </xdr:nvSpPr>
      <xdr:spPr bwMode="auto">
        <a:xfrm>
          <a:off x="13167360" y="422376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5673"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393D0000}"/>
            </a:ext>
          </a:extLst>
        </xdr:cNvPr>
        <xdr:cNvSpPr/>
      </xdr:nvSpPr>
      <xdr:spPr bwMode="auto">
        <a:xfrm>
          <a:off x="13205460" y="167411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74"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3A3D0000}"/>
            </a:ext>
          </a:extLst>
        </xdr:cNvPr>
        <xdr:cNvSpPr/>
      </xdr:nvSpPr>
      <xdr:spPr bwMode="auto">
        <a:xfrm>
          <a:off x="13205460" y="233629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75"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3B3D0000}"/>
            </a:ext>
          </a:extLst>
        </xdr:cNvPr>
        <xdr:cNvSpPr/>
      </xdr:nvSpPr>
      <xdr:spPr bwMode="auto">
        <a:xfrm>
          <a:off x="13205460" y="233629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76"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3C3D0000}"/>
            </a:ext>
          </a:extLst>
        </xdr:cNvPr>
        <xdr:cNvSpPr/>
      </xdr:nvSpPr>
      <xdr:spPr bwMode="auto">
        <a:xfrm>
          <a:off x="13205460" y="294513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77"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3D3D0000}"/>
            </a:ext>
          </a:extLst>
        </xdr:cNvPr>
        <xdr:cNvSpPr/>
      </xdr:nvSpPr>
      <xdr:spPr bwMode="auto">
        <a:xfrm>
          <a:off x="13205460" y="294513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7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3E3D0000}"/>
            </a:ext>
          </a:extLst>
        </xdr:cNvPr>
        <xdr:cNvSpPr/>
      </xdr:nvSpPr>
      <xdr:spPr bwMode="auto">
        <a:xfrm>
          <a:off x="13205460" y="294513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79"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3F3D0000}"/>
            </a:ext>
          </a:extLst>
        </xdr:cNvPr>
        <xdr:cNvSpPr/>
      </xdr:nvSpPr>
      <xdr:spPr bwMode="auto">
        <a:xfrm>
          <a:off x="13205460" y="357759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80"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403D0000}"/>
            </a:ext>
          </a:extLst>
        </xdr:cNvPr>
        <xdr:cNvSpPr/>
      </xdr:nvSpPr>
      <xdr:spPr bwMode="auto">
        <a:xfrm>
          <a:off x="13205460" y="357759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81"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413D0000}"/>
            </a:ext>
          </a:extLst>
        </xdr:cNvPr>
        <xdr:cNvSpPr/>
      </xdr:nvSpPr>
      <xdr:spPr bwMode="auto">
        <a:xfrm>
          <a:off x="13205460" y="357759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682"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500-0000423D0000}"/>
            </a:ext>
          </a:extLst>
        </xdr:cNvPr>
        <xdr:cNvSpPr/>
      </xdr:nvSpPr>
      <xdr:spPr bwMode="auto">
        <a:xfrm>
          <a:off x="13205460" y="357759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123825</xdr:colOff>
      <xdr:row>0</xdr:row>
      <xdr:rowOff>85726</xdr:rowOff>
    </xdr:from>
    <xdr:ext cx="0" cy="730672"/>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6</xdr:col>
          <xdr:colOff>676275</xdr:colOff>
          <xdr:row>16</xdr:row>
          <xdr:rowOff>342900</xdr:rowOff>
        </xdr:from>
        <xdr:to>
          <xdr:col>6</xdr:col>
          <xdr:colOff>1019175</xdr:colOff>
          <xdr:row>16</xdr:row>
          <xdr:rowOff>695325</xdr:rowOff>
        </xdr:to>
        <xdr:sp macro="" textlink="">
          <xdr:nvSpPr>
            <xdr:cNvPr id="16385" name="Check Box 1" hidden="1">
              <a:extLst>
                <a:ext uri="{63B3BB69-23CF-44E3-9099-C40C66FF867C}">
                  <a14:compatExt spid="_x0000_s16385"/>
                </a:ext>
                <a:ext uri="{FF2B5EF4-FFF2-40B4-BE49-F238E27FC236}">
                  <a16:creationId xmlns:a16="http://schemas.microsoft.com/office/drawing/2014/main" id="{00000000-0008-0000-0600-00000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17</xdr:row>
          <xdr:rowOff>409575</xdr:rowOff>
        </xdr:from>
        <xdr:to>
          <xdr:col>6</xdr:col>
          <xdr:colOff>1019175</xdr:colOff>
          <xdr:row>17</xdr:row>
          <xdr:rowOff>752475</xdr:rowOff>
        </xdr:to>
        <xdr:sp macro="" textlink="">
          <xdr:nvSpPr>
            <xdr:cNvPr id="16386" name="Check Box 2" hidden="1">
              <a:extLst>
                <a:ext uri="{63B3BB69-23CF-44E3-9099-C40C66FF867C}">
                  <a14:compatExt spid="_x0000_s16386"/>
                </a:ext>
                <a:ext uri="{FF2B5EF4-FFF2-40B4-BE49-F238E27FC236}">
                  <a16:creationId xmlns:a16="http://schemas.microsoft.com/office/drawing/2014/main" id="{00000000-0008-0000-0600-00000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18</xdr:row>
          <xdr:rowOff>409575</xdr:rowOff>
        </xdr:from>
        <xdr:to>
          <xdr:col>6</xdr:col>
          <xdr:colOff>1019175</xdr:colOff>
          <xdr:row>18</xdr:row>
          <xdr:rowOff>752475</xdr:rowOff>
        </xdr:to>
        <xdr:sp macro="" textlink="">
          <xdr:nvSpPr>
            <xdr:cNvPr id="16387" name="Check Box 3" hidden="1">
              <a:extLst>
                <a:ext uri="{63B3BB69-23CF-44E3-9099-C40C66FF867C}">
                  <a14:compatExt spid="_x0000_s16387"/>
                </a:ext>
                <a:ext uri="{FF2B5EF4-FFF2-40B4-BE49-F238E27FC236}">
                  <a16:creationId xmlns:a16="http://schemas.microsoft.com/office/drawing/2014/main" id="{00000000-0008-0000-0600-00000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19</xdr:row>
          <xdr:rowOff>381000</xdr:rowOff>
        </xdr:from>
        <xdr:to>
          <xdr:col>6</xdr:col>
          <xdr:colOff>1019175</xdr:colOff>
          <xdr:row>19</xdr:row>
          <xdr:rowOff>733425</xdr:rowOff>
        </xdr:to>
        <xdr:sp macro="" textlink="">
          <xdr:nvSpPr>
            <xdr:cNvPr id="16388" name="Check Box 4" hidden="1">
              <a:extLst>
                <a:ext uri="{63B3BB69-23CF-44E3-9099-C40C66FF867C}">
                  <a14:compatExt spid="_x0000_s16388"/>
                </a:ext>
                <a:ext uri="{FF2B5EF4-FFF2-40B4-BE49-F238E27FC236}">
                  <a16:creationId xmlns:a16="http://schemas.microsoft.com/office/drawing/2014/main" id="{00000000-0008-0000-0600-00000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32</xdr:row>
      <xdr:rowOff>0</xdr:rowOff>
    </xdr:from>
    <xdr:ext cx="333375" cy="342900"/>
    <xdr:sp macro="" textlink="">
      <xdr:nvSpPr>
        <xdr:cNvPr id="6" name="Check Box 90" hidden="1">
          <a:extLst>
            <a:ext uri="{63B3BB69-23CF-44E3-9099-C40C66FF867C}">
              <a14:compatExt xmlns:a14="http://schemas.microsoft.com/office/drawing/2010/main" spid="_x0000_s5210"/>
            </a:ext>
            <a:ext uri="{FF2B5EF4-FFF2-40B4-BE49-F238E27FC236}">
              <a16:creationId xmlns:a16="http://schemas.microsoft.com/office/drawing/2014/main" id="{00000000-0008-0000-0600-000006000000}"/>
            </a:ext>
          </a:extLst>
        </xdr:cNvPr>
        <xdr:cNvSpPr/>
      </xdr:nvSpPr>
      <xdr:spPr bwMode="auto">
        <a:xfrm>
          <a:off x="13224510"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7" name="Check Box 91" hidden="1">
          <a:extLst>
            <a:ext uri="{63B3BB69-23CF-44E3-9099-C40C66FF867C}">
              <a14:compatExt xmlns:a14="http://schemas.microsoft.com/office/drawing/2010/main" spid="_x0000_s5211"/>
            </a:ext>
            <a:ext uri="{FF2B5EF4-FFF2-40B4-BE49-F238E27FC236}">
              <a16:creationId xmlns:a16="http://schemas.microsoft.com/office/drawing/2014/main" id="{00000000-0008-0000-0600-0000070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8" name="Check Box 92" hidden="1">
          <a:extLst>
            <a:ext uri="{63B3BB69-23CF-44E3-9099-C40C66FF867C}">
              <a14:compatExt xmlns:a14="http://schemas.microsoft.com/office/drawing/2010/main" spid="_x0000_s5212"/>
            </a:ext>
            <a:ext uri="{FF2B5EF4-FFF2-40B4-BE49-F238E27FC236}">
              <a16:creationId xmlns:a16="http://schemas.microsoft.com/office/drawing/2014/main" id="{00000000-0008-0000-0600-0000080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9" name="Check Box 93" hidden="1">
          <a:extLst>
            <a:ext uri="{63B3BB69-23CF-44E3-9099-C40C66FF867C}">
              <a14:compatExt xmlns:a14="http://schemas.microsoft.com/office/drawing/2010/main" spid="_x0000_s5213"/>
            </a:ext>
            <a:ext uri="{FF2B5EF4-FFF2-40B4-BE49-F238E27FC236}">
              <a16:creationId xmlns:a16="http://schemas.microsoft.com/office/drawing/2014/main" id="{00000000-0008-0000-0600-0000090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0" name="Check Box 94" hidden="1">
          <a:extLst>
            <a:ext uri="{63B3BB69-23CF-44E3-9099-C40C66FF867C}">
              <a14:compatExt xmlns:a14="http://schemas.microsoft.com/office/drawing/2010/main" spid="_x0000_s5214"/>
            </a:ext>
            <a:ext uri="{FF2B5EF4-FFF2-40B4-BE49-F238E27FC236}">
              <a16:creationId xmlns:a16="http://schemas.microsoft.com/office/drawing/2014/main" id="{00000000-0008-0000-0600-00000A0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1" name="Check Box 95" hidden="1">
          <a:extLst>
            <a:ext uri="{63B3BB69-23CF-44E3-9099-C40C66FF867C}">
              <a14:compatExt xmlns:a14="http://schemas.microsoft.com/office/drawing/2010/main" spid="_x0000_s5215"/>
            </a:ext>
            <a:ext uri="{FF2B5EF4-FFF2-40B4-BE49-F238E27FC236}">
              <a16:creationId xmlns:a16="http://schemas.microsoft.com/office/drawing/2014/main" id="{00000000-0008-0000-0600-00000B0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2"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600-00000C0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3"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600-00000D0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4"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600-00000E0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5"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600-00000F0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600-0000100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7"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600-0000110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8"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600-0000120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9"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600-000013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0"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600-000014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1"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600-000015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2"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600-000016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3"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600-000017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24"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600-0000180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5"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600-000019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6"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600-00001A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7"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600-00001B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8"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600-00001C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29"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600-00001D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123825</xdr:colOff>
      <xdr:row>0</xdr:row>
      <xdr:rowOff>85726</xdr:rowOff>
    </xdr:from>
    <xdr:ext cx="0" cy="730672"/>
    <xdr:pic>
      <xdr:nvPicPr>
        <xdr:cNvPr id="30" name="Imagen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1" name="Imagen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32" name="Imagen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xdr:oneCellAnchor>
    <xdr:from>
      <xdr:col>6</xdr:col>
      <xdr:colOff>1009650</xdr:colOff>
      <xdr:row>16</xdr:row>
      <xdr:rowOff>0</xdr:rowOff>
    </xdr:from>
    <xdr:ext cx="333375" cy="342900"/>
    <xdr:sp macro="" textlink="">
      <xdr:nvSpPr>
        <xdr:cNvPr id="33"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600-000021000000}"/>
            </a:ext>
          </a:extLst>
        </xdr:cNvPr>
        <xdr:cNvSpPr/>
      </xdr:nvSpPr>
      <xdr:spPr bwMode="auto">
        <a:xfrm>
          <a:off x="13224510" y="53111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16</xdr:row>
      <xdr:rowOff>180975</xdr:rowOff>
    </xdr:from>
    <xdr:ext cx="342900" cy="342900"/>
    <xdr:sp macro="" textlink="">
      <xdr:nvSpPr>
        <xdr:cNvPr id="34"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600-000022000000}"/>
            </a:ext>
          </a:extLst>
        </xdr:cNvPr>
        <xdr:cNvSpPr/>
      </xdr:nvSpPr>
      <xdr:spPr bwMode="auto">
        <a:xfrm>
          <a:off x="13205460" y="549211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17</xdr:row>
      <xdr:rowOff>247650</xdr:rowOff>
    </xdr:from>
    <xdr:ext cx="342900" cy="342900"/>
    <xdr:sp macro="" textlink="">
      <xdr:nvSpPr>
        <xdr:cNvPr id="35"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600-000023000000}"/>
            </a:ext>
          </a:extLst>
        </xdr:cNvPr>
        <xdr:cNvSpPr/>
      </xdr:nvSpPr>
      <xdr:spPr bwMode="auto">
        <a:xfrm>
          <a:off x="13205460" y="69608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18</xdr:row>
      <xdr:rowOff>238125</xdr:rowOff>
    </xdr:from>
    <xdr:ext cx="342900" cy="342900"/>
    <xdr:sp macro="" textlink="">
      <xdr:nvSpPr>
        <xdr:cNvPr id="36"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600-000024000000}"/>
            </a:ext>
          </a:extLst>
        </xdr:cNvPr>
        <xdr:cNvSpPr/>
      </xdr:nvSpPr>
      <xdr:spPr bwMode="auto">
        <a:xfrm>
          <a:off x="13205460" y="835342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19</xdr:row>
      <xdr:rowOff>219075</xdr:rowOff>
    </xdr:from>
    <xdr:ext cx="342900" cy="342900"/>
    <xdr:sp macro="" textlink="">
      <xdr:nvSpPr>
        <xdr:cNvPr id="37"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600-000025000000}"/>
            </a:ext>
          </a:extLst>
        </xdr:cNvPr>
        <xdr:cNvSpPr/>
      </xdr:nvSpPr>
      <xdr:spPr bwMode="auto">
        <a:xfrm>
          <a:off x="13205460" y="973645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3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26000000}"/>
            </a:ext>
          </a:extLst>
        </xdr:cNvPr>
        <xdr:cNvSpPr/>
      </xdr:nvSpPr>
      <xdr:spPr bwMode="auto">
        <a:xfrm>
          <a:off x="13205460" y="10919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39"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600-000027000000}"/>
            </a:ext>
          </a:extLst>
        </xdr:cNvPr>
        <xdr:cNvSpPr/>
      </xdr:nvSpPr>
      <xdr:spPr bwMode="auto">
        <a:xfrm>
          <a:off x="13214985" y="3149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0"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600-000028000000}"/>
            </a:ext>
          </a:extLst>
        </xdr:cNvPr>
        <xdr:cNvSpPr/>
      </xdr:nvSpPr>
      <xdr:spPr bwMode="auto">
        <a:xfrm>
          <a:off x="13205460" y="316839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1"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600-000029000000}"/>
            </a:ext>
          </a:extLst>
        </xdr:cNvPr>
        <xdr:cNvSpPr/>
      </xdr:nvSpPr>
      <xdr:spPr bwMode="auto">
        <a:xfrm>
          <a:off x="13205460" y="329831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2"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600-00002A000000}"/>
            </a:ext>
          </a:extLst>
        </xdr:cNvPr>
        <xdr:cNvSpPr/>
      </xdr:nvSpPr>
      <xdr:spPr bwMode="auto">
        <a:xfrm>
          <a:off x="13205460" y="342252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3"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600-00002B000000}"/>
            </a:ext>
          </a:extLst>
        </xdr:cNvPr>
        <xdr:cNvSpPr/>
      </xdr:nvSpPr>
      <xdr:spPr bwMode="auto">
        <a:xfrm>
          <a:off x="13205460" y="354672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44"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600-00002C000000}"/>
            </a:ext>
          </a:extLst>
        </xdr:cNvPr>
        <xdr:cNvSpPr/>
      </xdr:nvSpPr>
      <xdr:spPr bwMode="auto">
        <a:xfrm>
          <a:off x="13205460" y="364617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45"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600-00002D0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46"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600-00002E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47"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600-00002F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48"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600-000030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49"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600-000031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0"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600-000032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51"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600-0000330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2"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600-000034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3"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600-000035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4"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600-000036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5"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600-000037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6"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600-000038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57"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600-0000390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8"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600-00003A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59"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600-00003B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60"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600-00003C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61"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600-00003D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62"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600-00003E0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342900"/>
    <xdr:sp macro="" textlink="">
      <xdr:nvSpPr>
        <xdr:cNvPr id="63" name="Check Box 169" hidden="1">
          <a:extLst>
            <a:ext uri="{63B3BB69-23CF-44E3-9099-C40C66FF867C}">
              <a14:compatExt xmlns:a14="http://schemas.microsoft.com/office/drawing/2010/main" spid="_x0000_s5289"/>
            </a:ext>
            <a:ext uri="{FF2B5EF4-FFF2-40B4-BE49-F238E27FC236}">
              <a16:creationId xmlns:a16="http://schemas.microsoft.com/office/drawing/2014/main" id="{00000000-0008-0000-0600-00003F000000}"/>
            </a:ext>
          </a:extLst>
        </xdr:cNvPr>
        <xdr:cNvSpPr/>
      </xdr:nvSpPr>
      <xdr:spPr bwMode="auto">
        <a:xfrm>
          <a:off x="13224510"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384" name="Check Box 170" hidden="1">
          <a:extLst>
            <a:ext uri="{63B3BB69-23CF-44E3-9099-C40C66FF867C}">
              <a14:compatExt xmlns:a14="http://schemas.microsoft.com/office/drawing/2010/main" spid="_x0000_s5290"/>
            </a:ext>
            <a:ext uri="{FF2B5EF4-FFF2-40B4-BE49-F238E27FC236}">
              <a16:creationId xmlns:a16="http://schemas.microsoft.com/office/drawing/2014/main" id="{00000000-0008-0000-0600-000000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393" name="Check Box 171" hidden="1">
          <a:extLst>
            <a:ext uri="{63B3BB69-23CF-44E3-9099-C40C66FF867C}">
              <a14:compatExt xmlns:a14="http://schemas.microsoft.com/office/drawing/2010/main" spid="_x0000_s5291"/>
            </a:ext>
            <a:ext uri="{FF2B5EF4-FFF2-40B4-BE49-F238E27FC236}">
              <a16:creationId xmlns:a16="http://schemas.microsoft.com/office/drawing/2014/main" id="{00000000-0008-0000-0600-000009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394" name="Check Box 172" hidden="1">
          <a:extLst>
            <a:ext uri="{63B3BB69-23CF-44E3-9099-C40C66FF867C}">
              <a14:compatExt xmlns:a14="http://schemas.microsoft.com/office/drawing/2010/main" spid="_x0000_s5292"/>
            </a:ext>
            <a:ext uri="{FF2B5EF4-FFF2-40B4-BE49-F238E27FC236}">
              <a16:creationId xmlns:a16="http://schemas.microsoft.com/office/drawing/2014/main" id="{00000000-0008-0000-0600-00000A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395" name="Check Box 173" hidden="1">
          <a:extLst>
            <a:ext uri="{63B3BB69-23CF-44E3-9099-C40C66FF867C}">
              <a14:compatExt xmlns:a14="http://schemas.microsoft.com/office/drawing/2010/main" spid="_x0000_s5293"/>
            </a:ext>
            <a:ext uri="{FF2B5EF4-FFF2-40B4-BE49-F238E27FC236}">
              <a16:creationId xmlns:a16="http://schemas.microsoft.com/office/drawing/2014/main" id="{00000000-0008-0000-0600-00000B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396" name="Check Box 174" hidden="1">
          <a:extLst>
            <a:ext uri="{63B3BB69-23CF-44E3-9099-C40C66FF867C}">
              <a14:compatExt xmlns:a14="http://schemas.microsoft.com/office/drawing/2010/main" spid="_x0000_s5294"/>
            </a:ext>
            <a:ext uri="{FF2B5EF4-FFF2-40B4-BE49-F238E27FC236}">
              <a16:creationId xmlns:a16="http://schemas.microsoft.com/office/drawing/2014/main" id="{00000000-0008-0000-0600-00000C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397" name="Check Box 175" hidden="1">
          <a:extLst>
            <a:ext uri="{63B3BB69-23CF-44E3-9099-C40C66FF867C}">
              <a14:compatExt xmlns:a14="http://schemas.microsoft.com/office/drawing/2010/main" spid="_x0000_s5295"/>
            </a:ext>
            <a:ext uri="{FF2B5EF4-FFF2-40B4-BE49-F238E27FC236}">
              <a16:creationId xmlns:a16="http://schemas.microsoft.com/office/drawing/2014/main" id="{00000000-0008-0000-0600-00000D4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398" name="Check Box 176" hidden="1">
          <a:extLst>
            <a:ext uri="{63B3BB69-23CF-44E3-9099-C40C66FF867C}">
              <a14:compatExt xmlns:a14="http://schemas.microsoft.com/office/drawing/2010/main" spid="_x0000_s5296"/>
            </a:ext>
            <a:ext uri="{FF2B5EF4-FFF2-40B4-BE49-F238E27FC236}">
              <a16:creationId xmlns:a16="http://schemas.microsoft.com/office/drawing/2014/main" id="{00000000-0008-0000-0600-00000E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399" name="Check Box 177" hidden="1">
          <a:extLst>
            <a:ext uri="{63B3BB69-23CF-44E3-9099-C40C66FF867C}">
              <a14:compatExt xmlns:a14="http://schemas.microsoft.com/office/drawing/2010/main" spid="_x0000_s5297"/>
            </a:ext>
            <a:ext uri="{FF2B5EF4-FFF2-40B4-BE49-F238E27FC236}">
              <a16:creationId xmlns:a16="http://schemas.microsoft.com/office/drawing/2014/main" id="{00000000-0008-0000-0600-00000F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00" name="Check Box 178" hidden="1">
          <a:extLst>
            <a:ext uri="{63B3BB69-23CF-44E3-9099-C40C66FF867C}">
              <a14:compatExt xmlns:a14="http://schemas.microsoft.com/office/drawing/2010/main" spid="_x0000_s5298"/>
            </a:ext>
            <a:ext uri="{FF2B5EF4-FFF2-40B4-BE49-F238E27FC236}">
              <a16:creationId xmlns:a16="http://schemas.microsoft.com/office/drawing/2014/main" id="{00000000-0008-0000-0600-000010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01" name="Check Box 179" hidden="1">
          <a:extLst>
            <a:ext uri="{63B3BB69-23CF-44E3-9099-C40C66FF867C}">
              <a14:compatExt xmlns:a14="http://schemas.microsoft.com/office/drawing/2010/main" spid="_x0000_s5299"/>
            </a:ext>
            <a:ext uri="{FF2B5EF4-FFF2-40B4-BE49-F238E27FC236}">
              <a16:creationId xmlns:a16="http://schemas.microsoft.com/office/drawing/2014/main" id="{00000000-0008-0000-0600-000011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02" name="Check Box 180" hidden="1">
          <a:extLst>
            <a:ext uri="{63B3BB69-23CF-44E3-9099-C40C66FF867C}">
              <a14:compatExt xmlns:a14="http://schemas.microsoft.com/office/drawing/2010/main" spid="_x0000_s5300"/>
            </a:ext>
            <a:ext uri="{FF2B5EF4-FFF2-40B4-BE49-F238E27FC236}">
              <a16:creationId xmlns:a16="http://schemas.microsoft.com/office/drawing/2014/main" id="{00000000-0008-0000-0600-000012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403" name="Check Box 181" hidden="1">
          <a:extLst>
            <a:ext uri="{63B3BB69-23CF-44E3-9099-C40C66FF867C}">
              <a14:compatExt xmlns:a14="http://schemas.microsoft.com/office/drawing/2010/main" spid="_x0000_s5301"/>
            </a:ext>
            <a:ext uri="{FF2B5EF4-FFF2-40B4-BE49-F238E27FC236}">
              <a16:creationId xmlns:a16="http://schemas.microsoft.com/office/drawing/2014/main" id="{00000000-0008-0000-0600-000013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04" name="Check Box 182" hidden="1">
          <a:extLst>
            <a:ext uri="{63B3BB69-23CF-44E3-9099-C40C66FF867C}">
              <a14:compatExt xmlns:a14="http://schemas.microsoft.com/office/drawing/2010/main" spid="_x0000_s5302"/>
            </a:ext>
            <a:ext uri="{FF2B5EF4-FFF2-40B4-BE49-F238E27FC236}">
              <a16:creationId xmlns:a16="http://schemas.microsoft.com/office/drawing/2014/main" id="{00000000-0008-0000-0600-000014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05" name="Check Box 183" hidden="1">
          <a:extLst>
            <a:ext uri="{63B3BB69-23CF-44E3-9099-C40C66FF867C}">
              <a14:compatExt xmlns:a14="http://schemas.microsoft.com/office/drawing/2010/main" spid="_x0000_s5303"/>
            </a:ext>
            <a:ext uri="{FF2B5EF4-FFF2-40B4-BE49-F238E27FC236}">
              <a16:creationId xmlns:a16="http://schemas.microsoft.com/office/drawing/2014/main" id="{00000000-0008-0000-0600-000015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06" name="Check Box 184" hidden="1">
          <a:extLst>
            <a:ext uri="{63B3BB69-23CF-44E3-9099-C40C66FF867C}">
              <a14:compatExt xmlns:a14="http://schemas.microsoft.com/office/drawing/2010/main" spid="_x0000_s5304"/>
            </a:ext>
            <a:ext uri="{FF2B5EF4-FFF2-40B4-BE49-F238E27FC236}">
              <a16:creationId xmlns:a16="http://schemas.microsoft.com/office/drawing/2014/main" id="{00000000-0008-0000-0600-000016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07" name="Check Box 185" hidden="1">
          <a:extLst>
            <a:ext uri="{63B3BB69-23CF-44E3-9099-C40C66FF867C}">
              <a14:compatExt xmlns:a14="http://schemas.microsoft.com/office/drawing/2010/main" spid="_x0000_s5305"/>
            </a:ext>
            <a:ext uri="{FF2B5EF4-FFF2-40B4-BE49-F238E27FC236}">
              <a16:creationId xmlns:a16="http://schemas.microsoft.com/office/drawing/2014/main" id="{00000000-0008-0000-0600-000017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08" name="Check Box 186" hidden="1">
          <a:extLst>
            <a:ext uri="{63B3BB69-23CF-44E3-9099-C40C66FF867C}">
              <a14:compatExt xmlns:a14="http://schemas.microsoft.com/office/drawing/2010/main" spid="_x0000_s5306"/>
            </a:ext>
            <a:ext uri="{FF2B5EF4-FFF2-40B4-BE49-F238E27FC236}">
              <a16:creationId xmlns:a16="http://schemas.microsoft.com/office/drawing/2014/main" id="{00000000-0008-0000-0600-000018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409" name="Check Box 187" hidden="1">
          <a:extLst>
            <a:ext uri="{63B3BB69-23CF-44E3-9099-C40C66FF867C}">
              <a14:compatExt xmlns:a14="http://schemas.microsoft.com/office/drawing/2010/main" spid="_x0000_s5307"/>
            </a:ext>
            <a:ext uri="{FF2B5EF4-FFF2-40B4-BE49-F238E27FC236}">
              <a16:creationId xmlns:a16="http://schemas.microsoft.com/office/drawing/2014/main" id="{00000000-0008-0000-0600-000019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10" name="Check Box 188" hidden="1">
          <a:extLst>
            <a:ext uri="{63B3BB69-23CF-44E3-9099-C40C66FF867C}">
              <a14:compatExt xmlns:a14="http://schemas.microsoft.com/office/drawing/2010/main" spid="_x0000_s5308"/>
            </a:ext>
            <a:ext uri="{FF2B5EF4-FFF2-40B4-BE49-F238E27FC236}">
              <a16:creationId xmlns:a16="http://schemas.microsoft.com/office/drawing/2014/main" id="{00000000-0008-0000-0600-00001A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11" name="Check Box 189" hidden="1">
          <a:extLst>
            <a:ext uri="{63B3BB69-23CF-44E3-9099-C40C66FF867C}">
              <a14:compatExt xmlns:a14="http://schemas.microsoft.com/office/drawing/2010/main" spid="_x0000_s5309"/>
            </a:ext>
            <a:ext uri="{FF2B5EF4-FFF2-40B4-BE49-F238E27FC236}">
              <a16:creationId xmlns:a16="http://schemas.microsoft.com/office/drawing/2014/main" id="{00000000-0008-0000-0600-00001B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12" name="Check Box 190" hidden="1">
          <a:extLst>
            <a:ext uri="{63B3BB69-23CF-44E3-9099-C40C66FF867C}">
              <a14:compatExt xmlns:a14="http://schemas.microsoft.com/office/drawing/2010/main" spid="_x0000_s5310"/>
            </a:ext>
            <a:ext uri="{FF2B5EF4-FFF2-40B4-BE49-F238E27FC236}">
              <a16:creationId xmlns:a16="http://schemas.microsoft.com/office/drawing/2014/main" id="{00000000-0008-0000-0600-00001C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13" name="Check Box 191" hidden="1">
          <a:extLst>
            <a:ext uri="{63B3BB69-23CF-44E3-9099-C40C66FF867C}">
              <a14:compatExt xmlns:a14="http://schemas.microsoft.com/office/drawing/2010/main" spid="_x0000_s5311"/>
            </a:ext>
            <a:ext uri="{FF2B5EF4-FFF2-40B4-BE49-F238E27FC236}">
              <a16:creationId xmlns:a16="http://schemas.microsoft.com/office/drawing/2014/main" id="{00000000-0008-0000-0600-00001D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14" name="Check Box 192" hidden="1">
          <a:extLst>
            <a:ext uri="{63B3BB69-23CF-44E3-9099-C40C66FF867C}">
              <a14:compatExt xmlns:a14="http://schemas.microsoft.com/office/drawing/2010/main" spid="_x0000_s5312"/>
            </a:ext>
            <a:ext uri="{FF2B5EF4-FFF2-40B4-BE49-F238E27FC236}">
              <a16:creationId xmlns:a16="http://schemas.microsoft.com/office/drawing/2014/main" id="{00000000-0008-0000-0600-00001E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415" name="Check Box 193" hidden="1">
          <a:extLst>
            <a:ext uri="{63B3BB69-23CF-44E3-9099-C40C66FF867C}">
              <a14:compatExt xmlns:a14="http://schemas.microsoft.com/office/drawing/2010/main" spid="_x0000_s5313"/>
            </a:ext>
            <a:ext uri="{FF2B5EF4-FFF2-40B4-BE49-F238E27FC236}">
              <a16:creationId xmlns:a16="http://schemas.microsoft.com/office/drawing/2014/main" id="{00000000-0008-0000-0600-00001F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16" name="Check Box 194" hidden="1">
          <a:extLst>
            <a:ext uri="{63B3BB69-23CF-44E3-9099-C40C66FF867C}">
              <a14:compatExt xmlns:a14="http://schemas.microsoft.com/office/drawing/2010/main" spid="_x0000_s5314"/>
            </a:ext>
            <a:ext uri="{FF2B5EF4-FFF2-40B4-BE49-F238E27FC236}">
              <a16:creationId xmlns:a16="http://schemas.microsoft.com/office/drawing/2014/main" id="{00000000-0008-0000-0600-000020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17" name="Check Box 195" hidden="1">
          <a:extLst>
            <a:ext uri="{63B3BB69-23CF-44E3-9099-C40C66FF867C}">
              <a14:compatExt xmlns:a14="http://schemas.microsoft.com/office/drawing/2010/main" spid="_x0000_s5315"/>
            </a:ext>
            <a:ext uri="{FF2B5EF4-FFF2-40B4-BE49-F238E27FC236}">
              <a16:creationId xmlns:a16="http://schemas.microsoft.com/office/drawing/2014/main" id="{00000000-0008-0000-0600-000021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18" name="Check Box 196" hidden="1">
          <a:extLst>
            <a:ext uri="{63B3BB69-23CF-44E3-9099-C40C66FF867C}">
              <a14:compatExt xmlns:a14="http://schemas.microsoft.com/office/drawing/2010/main" spid="_x0000_s5316"/>
            </a:ext>
            <a:ext uri="{FF2B5EF4-FFF2-40B4-BE49-F238E27FC236}">
              <a16:creationId xmlns:a16="http://schemas.microsoft.com/office/drawing/2014/main" id="{00000000-0008-0000-0600-000022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19" name="Check Box 197" hidden="1">
          <a:extLst>
            <a:ext uri="{63B3BB69-23CF-44E3-9099-C40C66FF867C}">
              <a14:compatExt xmlns:a14="http://schemas.microsoft.com/office/drawing/2010/main" spid="_x0000_s5317"/>
            </a:ext>
            <a:ext uri="{FF2B5EF4-FFF2-40B4-BE49-F238E27FC236}">
              <a16:creationId xmlns:a16="http://schemas.microsoft.com/office/drawing/2014/main" id="{00000000-0008-0000-0600-000023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342900"/>
    <xdr:sp macro="" textlink="">
      <xdr:nvSpPr>
        <xdr:cNvPr id="16420" name="Check Box 198" hidden="1">
          <a:extLst>
            <a:ext uri="{63B3BB69-23CF-44E3-9099-C40C66FF867C}">
              <a14:compatExt xmlns:a14="http://schemas.microsoft.com/office/drawing/2010/main" spid="_x0000_s5318"/>
            </a:ext>
            <a:ext uri="{FF2B5EF4-FFF2-40B4-BE49-F238E27FC236}">
              <a16:creationId xmlns:a16="http://schemas.microsoft.com/office/drawing/2014/main" id="{00000000-0008-0000-0600-000024400000}"/>
            </a:ext>
          </a:extLst>
        </xdr:cNvPr>
        <xdr:cNvSpPr/>
      </xdr:nvSpPr>
      <xdr:spPr bwMode="auto">
        <a:xfrm>
          <a:off x="13224510"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21" name="Check Box 199" hidden="1">
          <a:extLst>
            <a:ext uri="{63B3BB69-23CF-44E3-9099-C40C66FF867C}">
              <a14:compatExt xmlns:a14="http://schemas.microsoft.com/office/drawing/2010/main" spid="_x0000_s5319"/>
            </a:ext>
            <a:ext uri="{FF2B5EF4-FFF2-40B4-BE49-F238E27FC236}">
              <a16:creationId xmlns:a16="http://schemas.microsoft.com/office/drawing/2014/main" id="{00000000-0008-0000-0600-000025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22" name="Check Box 200" hidden="1">
          <a:extLst>
            <a:ext uri="{63B3BB69-23CF-44E3-9099-C40C66FF867C}">
              <a14:compatExt xmlns:a14="http://schemas.microsoft.com/office/drawing/2010/main" spid="_x0000_s5320"/>
            </a:ext>
            <a:ext uri="{FF2B5EF4-FFF2-40B4-BE49-F238E27FC236}">
              <a16:creationId xmlns:a16="http://schemas.microsoft.com/office/drawing/2014/main" id="{00000000-0008-0000-0600-000026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23" name="Check Box 201" hidden="1">
          <a:extLst>
            <a:ext uri="{63B3BB69-23CF-44E3-9099-C40C66FF867C}">
              <a14:compatExt xmlns:a14="http://schemas.microsoft.com/office/drawing/2010/main" spid="_x0000_s5321"/>
            </a:ext>
            <a:ext uri="{FF2B5EF4-FFF2-40B4-BE49-F238E27FC236}">
              <a16:creationId xmlns:a16="http://schemas.microsoft.com/office/drawing/2014/main" id="{00000000-0008-0000-0600-000027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24" name="Check Box 202" hidden="1">
          <a:extLst>
            <a:ext uri="{63B3BB69-23CF-44E3-9099-C40C66FF867C}">
              <a14:compatExt xmlns:a14="http://schemas.microsoft.com/office/drawing/2010/main" spid="_x0000_s5322"/>
            </a:ext>
            <a:ext uri="{FF2B5EF4-FFF2-40B4-BE49-F238E27FC236}">
              <a16:creationId xmlns:a16="http://schemas.microsoft.com/office/drawing/2014/main" id="{00000000-0008-0000-0600-000028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25" name="Check Box 203" hidden="1">
          <a:extLst>
            <a:ext uri="{63B3BB69-23CF-44E3-9099-C40C66FF867C}">
              <a14:compatExt xmlns:a14="http://schemas.microsoft.com/office/drawing/2010/main" spid="_x0000_s5323"/>
            </a:ext>
            <a:ext uri="{FF2B5EF4-FFF2-40B4-BE49-F238E27FC236}">
              <a16:creationId xmlns:a16="http://schemas.microsoft.com/office/drawing/2014/main" id="{00000000-0008-0000-0600-000029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426"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600-00002A4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27"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600-00002B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28"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600-00002C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29"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600-00002D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30"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600-00002E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31"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600-00002F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432"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600-000030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33"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600-000031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34"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600-000032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35"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600-000033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36"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600-000034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37"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600-000035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438"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600-000036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39"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600-000037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40"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600-000038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41"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600-000039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42"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600-00003A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43" name="Check Box 221" hidden="1">
          <a:extLst>
            <a:ext uri="{63B3BB69-23CF-44E3-9099-C40C66FF867C}">
              <a14:compatExt xmlns:a14="http://schemas.microsoft.com/office/drawing/2010/main" spid="_x0000_s5341"/>
            </a:ext>
            <a:ext uri="{FF2B5EF4-FFF2-40B4-BE49-F238E27FC236}">
              <a16:creationId xmlns:a16="http://schemas.microsoft.com/office/drawing/2014/main" id="{00000000-0008-0000-0600-00003B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44"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600-00003C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1383030"/>
    <xdr:sp macro="" textlink="">
      <xdr:nvSpPr>
        <xdr:cNvPr id="16445"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600-00003D400000}"/>
            </a:ext>
          </a:extLst>
        </xdr:cNvPr>
        <xdr:cNvSpPr/>
      </xdr:nvSpPr>
      <xdr:spPr bwMode="auto">
        <a:xfrm>
          <a:off x="13224510" y="42923460"/>
          <a:ext cx="333375"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83030"/>
    <xdr:sp macro="" textlink="">
      <xdr:nvSpPr>
        <xdr:cNvPr id="16446"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600-00003E400000}"/>
            </a:ext>
          </a:extLst>
        </xdr:cNvPr>
        <xdr:cNvSpPr/>
      </xdr:nvSpPr>
      <xdr:spPr bwMode="auto">
        <a:xfrm>
          <a:off x="13205460" y="42923460"/>
          <a:ext cx="342900"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16355"/>
    <xdr:sp macro="" textlink="">
      <xdr:nvSpPr>
        <xdr:cNvPr id="16447"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600-00003F400000}"/>
            </a:ext>
          </a:extLst>
        </xdr:cNvPr>
        <xdr:cNvSpPr/>
      </xdr:nvSpPr>
      <xdr:spPr bwMode="auto">
        <a:xfrm>
          <a:off x="13205460" y="42923460"/>
          <a:ext cx="342900" cy="13163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25880"/>
    <xdr:sp macro="" textlink="">
      <xdr:nvSpPr>
        <xdr:cNvPr id="16448"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600-000040400000}"/>
            </a:ext>
          </a:extLst>
        </xdr:cNvPr>
        <xdr:cNvSpPr/>
      </xdr:nvSpPr>
      <xdr:spPr bwMode="auto">
        <a:xfrm>
          <a:off x="13205460" y="42923460"/>
          <a:ext cx="342900" cy="1325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44930"/>
    <xdr:sp macro="" textlink="">
      <xdr:nvSpPr>
        <xdr:cNvPr id="16449"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600-000041400000}"/>
            </a:ext>
          </a:extLst>
        </xdr:cNvPr>
        <xdr:cNvSpPr/>
      </xdr:nvSpPr>
      <xdr:spPr bwMode="auto">
        <a:xfrm>
          <a:off x="13205460" y="42923460"/>
          <a:ext cx="342900" cy="13449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2247900"/>
    <xdr:sp macro="" textlink="">
      <xdr:nvSpPr>
        <xdr:cNvPr id="16450" name="Check Box 228" hidden="1">
          <a:extLst>
            <a:ext uri="{63B3BB69-23CF-44E3-9099-C40C66FF867C}">
              <a14:compatExt xmlns:a14="http://schemas.microsoft.com/office/drawing/2010/main" spid="_x0000_s5348"/>
            </a:ext>
            <a:ext uri="{FF2B5EF4-FFF2-40B4-BE49-F238E27FC236}">
              <a16:creationId xmlns:a16="http://schemas.microsoft.com/office/drawing/2014/main" id="{00000000-0008-0000-0600-000042400000}"/>
            </a:ext>
          </a:extLst>
        </xdr:cNvPr>
        <xdr:cNvSpPr/>
      </xdr:nvSpPr>
      <xdr:spPr bwMode="auto">
        <a:xfrm>
          <a:off x="13205460" y="42923460"/>
          <a:ext cx="342900" cy="2247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1611630"/>
    <xdr:sp macro="" textlink="">
      <xdr:nvSpPr>
        <xdr:cNvPr id="16451"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600-000043400000}"/>
            </a:ext>
          </a:extLst>
        </xdr:cNvPr>
        <xdr:cNvSpPr/>
      </xdr:nvSpPr>
      <xdr:spPr bwMode="auto">
        <a:xfrm>
          <a:off x="13214985" y="42923460"/>
          <a:ext cx="333375" cy="1611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602105"/>
    <xdr:sp macro="" textlink="">
      <xdr:nvSpPr>
        <xdr:cNvPr id="16452"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600-000044400000}"/>
            </a:ext>
          </a:extLst>
        </xdr:cNvPr>
        <xdr:cNvSpPr/>
      </xdr:nvSpPr>
      <xdr:spPr bwMode="auto">
        <a:xfrm>
          <a:off x="13205460" y="42923460"/>
          <a:ext cx="342900" cy="16021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44955"/>
    <xdr:sp macro="" textlink="">
      <xdr:nvSpPr>
        <xdr:cNvPr id="16453"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600-000045400000}"/>
            </a:ext>
          </a:extLst>
        </xdr:cNvPr>
        <xdr:cNvSpPr/>
      </xdr:nvSpPr>
      <xdr:spPr bwMode="auto">
        <a:xfrm>
          <a:off x="13205460" y="4292346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44955"/>
    <xdr:sp macro="" textlink="">
      <xdr:nvSpPr>
        <xdr:cNvPr id="16454"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600-000046400000}"/>
            </a:ext>
          </a:extLst>
        </xdr:cNvPr>
        <xdr:cNvSpPr/>
      </xdr:nvSpPr>
      <xdr:spPr bwMode="auto">
        <a:xfrm>
          <a:off x="13205460" y="4292346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44955"/>
    <xdr:sp macro="" textlink="">
      <xdr:nvSpPr>
        <xdr:cNvPr id="16455"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600-000047400000}"/>
            </a:ext>
          </a:extLst>
        </xdr:cNvPr>
        <xdr:cNvSpPr/>
      </xdr:nvSpPr>
      <xdr:spPr bwMode="auto">
        <a:xfrm>
          <a:off x="13205460" y="4292346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2472690"/>
    <xdr:sp macro="" textlink="">
      <xdr:nvSpPr>
        <xdr:cNvPr id="16456" name="Check Box 234" hidden="1">
          <a:extLst>
            <a:ext uri="{63B3BB69-23CF-44E3-9099-C40C66FF867C}">
              <a14:compatExt xmlns:a14="http://schemas.microsoft.com/office/drawing/2010/main" spid="_x0000_s5354"/>
            </a:ext>
            <a:ext uri="{FF2B5EF4-FFF2-40B4-BE49-F238E27FC236}">
              <a16:creationId xmlns:a16="http://schemas.microsoft.com/office/drawing/2014/main" id="{00000000-0008-0000-0600-000048400000}"/>
            </a:ext>
          </a:extLst>
        </xdr:cNvPr>
        <xdr:cNvSpPr/>
      </xdr:nvSpPr>
      <xdr:spPr bwMode="auto">
        <a:xfrm>
          <a:off x="13205460" y="42923460"/>
          <a:ext cx="342900" cy="24726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1535430"/>
    <xdr:sp macro="" textlink="">
      <xdr:nvSpPr>
        <xdr:cNvPr id="16457" name="Check Box 235" hidden="1">
          <a:extLst>
            <a:ext uri="{63B3BB69-23CF-44E3-9099-C40C66FF867C}">
              <a14:compatExt xmlns:a14="http://schemas.microsoft.com/office/drawing/2010/main" spid="_x0000_s5355"/>
            </a:ext>
            <a:ext uri="{FF2B5EF4-FFF2-40B4-BE49-F238E27FC236}">
              <a16:creationId xmlns:a16="http://schemas.microsoft.com/office/drawing/2014/main" id="{00000000-0008-0000-0600-000049400000}"/>
            </a:ext>
          </a:extLst>
        </xdr:cNvPr>
        <xdr:cNvSpPr/>
      </xdr:nvSpPr>
      <xdr:spPr bwMode="auto">
        <a:xfrm>
          <a:off x="13176885" y="42923460"/>
          <a:ext cx="333375" cy="15354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1525905"/>
    <xdr:sp macro="" textlink="">
      <xdr:nvSpPr>
        <xdr:cNvPr id="16458" name="Check Box 236" hidden="1">
          <a:extLst>
            <a:ext uri="{63B3BB69-23CF-44E3-9099-C40C66FF867C}">
              <a14:compatExt xmlns:a14="http://schemas.microsoft.com/office/drawing/2010/main" spid="_x0000_s5356"/>
            </a:ext>
            <a:ext uri="{FF2B5EF4-FFF2-40B4-BE49-F238E27FC236}">
              <a16:creationId xmlns:a16="http://schemas.microsoft.com/office/drawing/2014/main" id="{00000000-0008-0000-0600-00004A400000}"/>
            </a:ext>
          </a:extLst>
        </xdr:cNvPr>
        <xdr:cNvSpPr/>
      </xdr:nvSpPr>
      <xdr:spPr bwMode="auto">
        <a:xfrm>
          <a:off x="13167360" y="42923460"/>
          <a:ext cx="342900" cy="15259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1478280"/>
    <xdr:sp macro="" textlink="">
      <xdr:nvSpPr>
        <xdr:cNvPr id="16459" name="Check Box 237" hidden="1">
          <a:extLst>
            <a:ext uri="{63B3BB69-23CF-44E3-9099-C40C66FF867C}">
              <a14:compatExt xmlns:a14="http://schemas.microsoft.com/office/drawing/2010/main" spid="_x0000_s5357"/>
            </a:ext>
            <a:ext uri="{FF2B5EF4-FFF2-40B4-BE49-F238E27FC236}">
              <a16:creationId xmlns:a16="http://schemas.microsoft.com/office/drawing/2014/main" id="{00000000-0008-0000-0600-00004B400000}"/>
            </a:ext>
          </a:extLst>
        </xdr:cNvPr>
        <xdr:cNvSpPr/>
      </xdr:nvSpPr>
      <xdr:spPr bwMode="auto">
        <a:xfrm>
          <a:off x="13167360" y="42923460"/>
          <a:ext cx="342900" cy="14782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1468755"/>
    <xdr:sp macro="" textlink="">
      <xdr:nvSpPr>
        <xdr:cNvPr id="16460" name="Check Box 238" hidden="1">
          <a:extLst>
            <a:ext uri="{63B3BB69-23CF-44E3-9099-C40C66FF867C}">
              <a14:compatExt xmlns:a14="http://schemas.microsoft.com/office/drawing/2010/main" spid="_x0000_s5358"/>
            </a:ext>
            <a:ext uri="{FF2B5EF4-FFF2-40B4-BE49-F238E27FC236}">
              <a16:creationId xmlns:a16="http://schemas.microsoft.com/office/drawing/2014/main" id="{00000000-0008-0000-0600-00004C400000}"/>
            </a:ext>
          </a:extLst>
        </xdr:cNvPr>
        <xdr:cNvSpPr/>
      </xdr:nvSpPr>
      <xdr:spPr bwMode="auto">
        <a:xfrm>
          <a:off x="13167360" y="4292346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1468755"/>
    <xdr:sp macro="" textlink="">
      <xdr:nvSpPr>
        <xdr:cNvPr id="16461" name="Check Box 239" hidden="1">
          <a:extLst>
            <a:ext uri="{63B3BB69-23CF-44E3-9099-C40C66FF867C}">
              <a14:compatExt xmlns:a14="http://schemas.microsoft.com/office/drawing/2010/main" spid="_x0000_s5359"/>
            </a:ext>
            <a:ext uri="{FF2B5EF4-FFF2-40B4-BE49-F238E27FC236}">
              <a16:creationId xmlns:a16="http://schemas.microsoft.com/office/drawing/2014/main" id="{00000000-0008-0000-0600-00004D400000}"/>
            </a:ext>
          </a:extLst>
        </xdr:cNvPr>
        <xdr:cNvSpPr/>
      </xdr:nvSpPr>
      <xdr:spPr bwMode="auto">
        <a:xfrm>
          <a:off x="13167360" y="4292346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462"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600-00004E4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63"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600-00004F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64"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600-000050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65"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600-000051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66"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600-000052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67"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600-000053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468"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600-0000544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69"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600-000055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70"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600-000056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71"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600-000057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72"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600-000058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73"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600-000059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474"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600-00005A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75"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600-00005B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76"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600-00005C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77"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600-00005D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78"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600-00005E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79"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600-00005F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480"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600-000060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81"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600-000061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82"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600-000062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83"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600-000063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84"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600-000064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85"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600-000065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486"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600-0000664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87"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600-000067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88"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600-000068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89"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600-000069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90"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600-00006A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91"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600-00006B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492"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600-00006C4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93"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600-00006D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94"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600-00006E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95"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600-00006F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96"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600-000070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497"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600-000071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498"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600-000072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499"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600-000073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00"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600-000074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01"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600-000075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02"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600-000076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03"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600-000077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504"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600-000078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05"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600-000079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06"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600-00007A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07"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600-00007B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08"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600-00007C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09"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600-00007D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510"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600-00007E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11"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600-00007F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12"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600-000080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13"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600-000081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14"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600-000082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15"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600-000083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516"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600-000084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17"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600-000085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18"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600-000086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19"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600-000087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20"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600-000088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21"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600-000089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522"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600-00008A4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23"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600-00008B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24"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600-00008C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25"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600-00008D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26"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600-00008E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27"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600-00008F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528"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600-0000904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29"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600-000091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30"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600-000092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31"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600-000093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32"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600-000094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33"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600-000095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1390650"/>
    <xdr:sp macro="" textlink="">
      <xdr:nvSpPr>
        <xdr:cNvPr id="16534"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600-000096400000}"/>
            </a:ext>
          </a:extLst>
        </xdr:cNvPr>
        <xdr:cNvSpPr/>
      </xdr:nvSpPr>
      <xdr:spPr bwMode="auto">
        <a:xfrm>
          <a:off x="13224510" y="4292346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90650"/>
    <xdr:sp macro="" textlink="">
      <xdr:nvSpPr>
        <xdr:cNvPr id="16535"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600-000097400000}"/>
            </a:ext>
          </a:extLst>
        </xdr:cNvPr>
        <xdr:cNvSpPr/>
      </xdr:nvSpPr>
      <xdr:spPr bwMode="auto">
        <a:xfrm>
          <a:off x="13205460" y="4292346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23975"/>
    <xdr:sp macro="" textlink="">
      <xdr:nvSpPr>
        <xdr:cNvPr id="16536"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600-000098400000}"/>
            </a:ext>
          </a:extLst>
        </xdr:cNvPr>
        <xdr:cNvSpPr/>
      </xdr:nvSpPr>
      <xdr:spPr bwMode="auto">
        <a:xfrm>
          <a:off x="13205460" y="4292346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33500"/>
    <xdr:sp macro="" textlink="">
      <xdr:nvSpPr>
        <xdr:cNvPr id="16537"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600-000099400000}"/>
            </a:ext>
          </a:extLst>
        </xdr:cNvPr>
        <xdr:cNvSpPr/>
      </xdr:nvSpPr>
      <xdr:spPr bwMode="auto">
        <a:xfrm>
          <a:off x="13205460" y="4292346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52550"/>
    <xdr:sp macro="" textlink="">
      <xdr:nvSpPr>
        <xdr:cNvPr id="16538"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600-00009A400000}"/>
            </a:ext>
          </a:extLst>
        </xdr:cNvPr>
        <xdr:cNvSpPr/>
      </xdr:nvSpPr>
      <xdr:spPr bwMode="auto">
        <a:xfrm>
          <a:off x="13205460" y="4292346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539"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600-00009B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40"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600-00009C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41"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600-00009D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42"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600-00009E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43"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600-00009F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44"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600-0000A0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545"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600-0000A1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46"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600-0000A2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47"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600-0000A3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48"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600-0000A4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49"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600-0000A5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50"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600-0000A6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551"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600-0000A7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52"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600-0000A8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53"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600-0000A9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54"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600-0000AA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55"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600-0000AB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56"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600-0000AC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557"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600-0000AD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58"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600-0000AE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59"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600-0000AF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60"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600-0000B0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61"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600-0000B1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62"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600-0000B2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563"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600-0000B34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64"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600-0000B4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65"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600-0000B5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66"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600-0000B6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67"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600-0000B7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68"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600-0000B8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569"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600-0000B94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70"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600-0000BA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71"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600-0000BB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72"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600-0000BC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73"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600-0000BD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574"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600-0000BE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1619250"/>
    <xdr:sp macro="" textlink="">
      <xdr:nvSpPr>
        <xdr:cNvPr id="16575"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600-0000BF400000}"/>
            </a:ext>
          </a:extLst>
        </xdr:cNvPr>
        <xdr:cNvSpPr/>
      </xdr:nvSpPr>
      <xdr:spPr bwMode="auto">
        <a:xfrm>
          <a:off x="13214985" y="42923460"/>
          <a:ext cx="333375" cy="1619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609725"/>
    <xdr:sp macro="" textlink="">
      <xdr:nvSpPr>
        <xdr:cNvPr id="16576"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600-0000C0400000}"/>
            </a:ext>
          </a:extLst>
        </xdr:cNvPr>
        <xdr:cNvSpPr/>
      </xdr:nvSpPr>
      <xdr:spPr bwMode="auto">
        <a:xfrm>
          <a:off x="13205460" y="42923460"/>
          <a:ext cx="342900" cy="16097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52575"/>
    <xdr:sp macro="" textlink="">
      <xdr:nvSpPr>
        <xdr:cNvPr id="16577"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600-0000C1400000}"/>
            </a:ext>
          </a:extLst>
        </xdr:cNvPr>
        <xdr:cNvSpPr/>
      </xdr:nvSpPr>
      <xdr:spPr bwMode="auto">
        <a:xfrm>
          <a:off x="13205460" y="4292346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52575"/>
    <xdr:sp macro="" textlink="">
      <xdr:nvSpPr>
        <xdr:cNvPr id="16578"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600-0000C2400000}"/>
            </a:ext>
          </a:extLst>
        </xdr:cNvPr>
        <xdr:cNvSpPr/>
      </xdr:nvSpPr>
      <xdr:spPr bwMode="auto">
        <a:xfrm>
          <a:off x="13205460" y="4292346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552575"/>
    <xdr:sp macro="" textlink="">
      <xdr:nvSpPr>
        <xdr:cNvPr id="16579"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600-0000C3400000}"/>
            </a:ext>
          </a:extLst>
        </xdr:cNvPr>
        <xdr:cNvSpPr/>
      </xdr:nvSpPr>
      <xdr:spPr bwMode="auto">
        <a:xfrm>
          <a:off x="13205460" y="4292346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1390650"/>
    <xdr:sp macro="" textlink="">
      <xdr:nvSpPr>
        <xdr:cNvPr id="16580"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600-0000C4400000}"/>
            </a:ext>
          </a:extLst>
        </xdr:cNvPr>
        <xdr:cNvSpPr/>
      </xdr:nvSpPr>
      <xdr:spPr bwMode="auto">
        <a:xfrm>
          <a:off x="13224510" y="4292346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90650"/>
    <xdr:sp macro="" textlink="">
      <xdr:nvSpPr>
        <xdr:cNvPr id="16581"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600-0000C5400000}"/>
            </a:ext>
          </a:extLst>
        </xdr:cNvPr>
        <xdr:cNvSpPr/>
      </xdr:nvSpPr>
      <xdr:spPr bwMode="auto">
        <a:xfrm>
          <a:off x="13205460" y="4292346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23975"/>
    <xdr:sp macro="" textlink="">
      <xdr:nvSpPr>
        <xdr:cNvPr id="16582"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600-0000C6400000}"/>
            </a:ext>
          </a:extLst>
        </xdr:cNvPr>
        <xdr:cNvSpPr/>
      </xdr:nvSpPr>
      <xdr:spPr bwMode="auto">
        <a:xfrm>
          <a:off x="13205460" y="4292346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33500"/>
    <xdr:sp macro="" textlink="">
      <xdr:nvSpPr>
        <xdr:cNvPr id="16583"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600-0000C7400000}"/>
            </a:ext>
          </a:extLst>
        </xdr:cNvPr>
        <xdr:cNvSpPr/>
      </xdr:nvSpPr>
      <xdr:spPr bwMode="auto">
        <a:xfrm>
          <a:off x="13205460" y="4292346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1352550"/>
    <xdr:sp macro="" textlink="">
      <xdr:nvSpPr>
        <xdr:cNvPr id="16584"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600-0000C8400000}"/>
            </a:ext>
          </a:extLst>
        </xdr:cNvPr>
        <xdr:cNvSpPr/>
      </xdr:nvSpPr>
      <xdr:spPr bwMode="auto">
        <a:xfrm>
          <a:off x="13205460" y="4292346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585"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600-0000C9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86"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600-0000CA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87"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600-0000CB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88"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600-0000CC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89"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600-0000CD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90"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600-0000CE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591"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600-0000CF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92"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600-0000D0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93"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600-0000D1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94"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600-0000D2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95"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600-0000D3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96"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600-0000D4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597"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600-0000D5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98"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600-0000D6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599"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600-0000D7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00"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600-0000D8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01"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600-0000D9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02"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600-0000DA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603"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600-0000DB40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04"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600-0000DC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05"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600-0000DD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06"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600-0000DE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07"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600-0000DF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08"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600-0000E040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609"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600-0000E14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10"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600-0000E2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11"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600-0000E3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12"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600-0000E4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13"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600-0000E5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14"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600-0000E6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615"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600-0000E740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16"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600-0000E8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17"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600-0000E9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18"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600-0000EA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19"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600-0000EB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20"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600-0000EC40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32</xdr:row>
      <xdr:rowOff>0</xdr:rowOff>
    </xdr:from>
    <xdr:ext cx="333375" cy="342900"/>
    <xdr:sp macro="" textlink="">
      <xdr:nvSpPr>
        <xdr:cNvPr id="16625"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600-0000F1400000}"/>
            </a:ext>
          </a:extLst>
        </xdr:cNvPr>
        <xdr:cNvSpPr/>
      </xdr:nvSpPr>
      <xdr:spPr bwMode="auto">
        <a:xfrm>
          <a:off x="13224510" y="251688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26"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600-0000F2400000}"/>
            </a:ext>
          </a:extLst>
        </xdr:cNvPr>
        <xdr:cNvSpPr/>
      </xdr:nvSpPr>
      <xdr:spPr bwMode="auto">
        <a:xfrm>
          <a:off x="13205460" y="253498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27"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600-0000F3400000}"/>
            </a:ext>
          </a:extLst>
        </xdr:cNvPr>
        <xdr:cNvSpPr/>
      </xdr:nvSpPr>
      <xdr:spPr bwMode="auto">
        <a:xfrm>
          <a:off x="13205460" y="266585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28"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600-0000F4400000}"/>
            </a:ext>
          </a:extLst>
        </xdr:cNvPr>
        <xdr:cNvSpPr/>
      </xdr:nvSpPr>
      <xdr:spPr bwMode="auto">
        <a:xfrm>
          <a:off x="13205460" y="2789110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29"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600-0000F5400000}"/>
            </a:ext>
          </a:extLst>
        </xdr:cNvPr>
        <xdr:cNvSpPr/>
      </xdr:nvSpPr>
      <xdr:spPr bwMode="auto">
        <a:xfrm>
          <a:off x="13205460" y="2911411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30"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F6400000}"/>
            </a:ext>
          </a:extLst>
        </xdr:cNvPr>
        <xdr:cNvSpPr/>
      </xdr:nvSpPr>
      <xdr:spPr bwMode="auto">
        <a:xfrm>
          <a:off x="13205460" y="301371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28</xdr:row>
          <xdr:rowOff>419100</xdr:rowOff>
        </xdr:from>
        <xdr:to>
          <xdr:col>6</xdr:col>
          <xdr:colOff>1019175</xdr:colOff>
          <xdr:row>28</xdr:row>
          <xdr:rowOff>762000</xdr:rowOff>
        </xdr:to>
        <xdr:sp macro="" textlink="">
          <xdr:nvSpPr>
            <xdr:cNvPr id="5" name="Check Box 13" hidden="1">
              <a:extLst>
                <a:ext uri="{63B3BB69-23CF-44E3-9099-C40C66FF867C}">
                  <a14:compatExt spid="_x0000_s16397"/>
                </a:ext>
                <a:ext uri="{FF2B5EF4-FFF2-40B4-BE49-F238E27FC236}">
                  <a16:creationId xmlns:a16="http://schemas.microsoft.com/office/drawing/2014/main" id="{00000000-0008-0000-06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29</xdr:row>
          <xdr:rowOff>485775</xdr:rowOff>
        </xdr:from>
        <xdr:to>
          <xdr:col>6</xdr:col>
          <xdr:colOff>1019175</xdr:colOff>
          <xdr:row>29</xdr:row>
          <xdr:rowOff>828675</xdr:rowOff>
        </xdr:to>
        <xdr:sp macro="" textlink="">
          <xdr:nvSpPr>
            <xdr:cNvPr id="16621" name="Check Box 14" hidden="1">
              <a:extLst>
                <a:ext uri="{63B3BB69-23CF-44E3-9099-C40C66FF867C}">
                  <a14:compatExt spid="_x0000_s16398"/>
                </a:ext>
                <a:ext uri="{FF2B5EF4-FFF2-40B4-BE49-F238E27FC236}">
                  <a16:creationId xmlns:a16="http://schemas.microsoft.com/office/drawing/2014/main" id="{00000000-0008-0000-0600-0000E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30</xdr:row>
          <xdr:rowOff>485775</xdr:rowOff>
        </xdr:from>
        <xdr:to>
          <xdr:col>6</xdr:col>
          <xdr:colOff>1019175</xdr:colOff>
          <xdr:row>30</xdr:row>
          <xdr:rowOff>828675</xdr:rowOff>
        </xdr:to>
        <xdr:sp macro="" textlink="">
          <xdr:nvSpPr>
            <xdr:cNvPr id="16622" name="Check Box 15" hidden="1">
              <a:extLst>
                <a:ext uri="{63B3BB69-23CF-44E3-9099-C40C66FF867C}">
                  <a14:compatExt spid="_x0000_s16399"/>
                </a:ext>
                <a:ext uri="{FF2B5EF4-FFF2-40B4-BE49-F238E27FC236}">
                  <a16:creationId xmlns:a16="http://schemas.microsoft.com/office/drawing/2014/main" id="{00000000-0008-0000-0600-0000E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31</xdr:row>
          <xdr:rowOff>457200</xdr:rowOff>
        </xdr:from>
        <xdr:to>
          <xdr:col>6</xdr:col>
          <xdr:colOff>1019175</xdr:colOff>
          <xdr:row>31</xdr:row>
          <xdr:rowOff>809625</xdr:rowOff>
        </xdr:to>
        <xdr:sp macro="" textlink="">
          <xdr:nvSpPr>
            <xdr:cNvPr id="16623" name="Check Box 16" hidden="1">
              <a:extLst>
                <a:ext uri="{63B3BB69-23CF-44E3-9099-C40C66FF867C}">
                  <a14:compatExt spid="_x0000_s16400"/>
                </a:ext>
                <a:ext uri="{FF2B5EF4-FFF2-40B4-BE49-F238E27FC236}">
                  <a16:creationId xmlns:a16="http://schemas.microsoft.com/office/drawing/2014/main" id="{00000000-0008-0000-0600-0000E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28</xdr:row>
      <xdr:rowOff>0</xdr:rowOff>
    </xdr:from>
    <xdr:ext cx="333375" cy="342900"/>
    <xdr:sp macro="" textlink="">
      <xdr:nvSpPr>
        <xdr:cNvPr id="16635"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600-0000FB400000}"/>
            </a:ext>
          </a:extLst>
        </xdr:cNvPr>
        <xdr:cNvSpPr/>
      </xdr:nvSpPr>
      <xdr:spPr bwMode="auto">
        <a:xfrm>
          <a:off x="13224510" y="186537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28</xdr:row>
      <xdr:rowOff>180975</xdr:rowOff>
    </xdr:from>
    <xdr:ext cx="342900" cy="342900"/>
    <xdr:sp macro="" textlink="">
      <xdr:nvSpPr>
        <xdr:cNvPr id="16636"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600-0000FC400000}"/>
            </a:ext>
          </a:extLst>
        </xdr:cNvPr>
        <xdr:cNvSpPr/>
      </xdr:nvSpPr>
      <xdr:spPr bwMode="auto">
        <a:xfrm>
          <a:off x="13205460" y="188347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29</xdr:row>
      <xdr:rowOff>247650</xdr:rowOff>
    </xdr:from>
    <xdr:ext cx="342900" cy="342900"/>
    <xdr:sp macro="" textlink="">
      <xdr:nvSpPr>
        <xdr:cNvPr id="16637"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600-0000FD400000}"/>
            </a:ext>
          </a:extLst>
        </xdr:cNvPr>
        <xdr:cNvSpPr/>
      </xdr:nvSpPr>
      <xdr:spPr bwMode="auto">
        <a:xfrm>
          <a:off x="13205460" y="201434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30</xdr:row>
      <xdr:rowOff>238125</xdr:rowOff>
    </xdr:from>
    <xdr:ext cx="342900" cy="342900"/>
    <xdr:sp macro="" textlink="">
      <xdr:nvSpPr>
        <xdr:cNvPr id="16638"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600-0000FE400000}"/>
            </a:ext>
          </a:extLst>
        </xdr:cNvPr>
        <xdr:cNvSpPr/>
      </xdr:nvSpPr>
      <xdr:spPr bwMode="auto">
        <a:xfrm>
          <a:off x="13205460" y="2137600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31</xdr:row>
      <xdr:rowOff>219075</xdr:rowOff>
    </xdr:from>
    <xdr:ext cx="342900" cy="342900"/>
    <xdr:sp macro="" textlink="">
      <xdr:nvSpPr>
        <xdr:cNvPr id="16639"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600-0000FF400000}"/>
            </a:ext>
          </a:extLst>
        </xdr:cNvPr>
        <xdr:cNvSpPr/>
      </xdr:nvSpPr>
      <xdr:spPr bwMode="auto">
        <a:xfrm>
          <a:off x="13205460" y="2281237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40"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0041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22</xdr:row>
          <xdr:rowOff>333375</xdr:rowOff>
        </xdr:from>
        <xdr:to>
          <xdr:col>6</xdr:col>
          <xdr:colOff>1019175</xdr:colOff>
          <xdr:row>22</xdr:row>
          <xdr:rowOff>676275</xdr:rowOff>
        </xdr:to>
        <xdr:sp macro="" textlink="">
          <xdr:nvSpPr>
            <xdr:cNvPr id="16624" name="Check Box 17" hidden="1">
              <a:extLst>
                <a:ext uri="{63B3BB69-23CF-44E3-9099-C40C66FF867C}">
                  <a14:compatExt spid="_x0000_s16401"/>
                </a:ext>
                <a:ext uri="{FF2B5EF4-FFF2-40B4-BE49-F238E27FC236}">
                  <a16:creationId xmlns:a16="http://schemas.microsoft.com/office/drawing/2014/main" id="{00000000-0008-0000-0600-0000F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23</xdr:row>
          <xdr:rowOff>409575</xdr:rowOff>
        </xdr:from>
        <xdr:to>
          <xdr:col>6</xdr:col>
          <xdr:colOff>1019175</xdr:colOff>
          <xdr:row>23</xdr:row>
          <xdr:rowOff>752475</xdr:rowOff>
        </xdr:to>
        <xdr:sp macro="" textlink="">
          <xdr:nvSpPr>
            <xdr:cNvPr id="16631" name="Check Box 18" hidden="1">
              <a:extLst>
                <a:ext uri="{63B3BB69-23CF-44E3-9099-C40C66FF867C}">
                  <a14:compatExt spid="_x0000_s16402"/>
                </a:ext>
                <a:ext uri="{FF2B5EF4-FFF2-40B4-BE49-F238E27FC236}">
                  <a16:creationId xmlns:a16="http://schemas.microsoft.com/office/drawing/2014/main" id="{00000000-0008-0000-0600-0000F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24</xdr:row>
          <xdr:rowOff>390525</xdr:rowOff>
        </xdr:from>
        <xdr:to>
          <xdr:col>6</xdr:col>
          <xdr:colOff>1019175</xdr:colOff>
          <xdr:row>24</xdr:row>
          <xdr:rowOff>733425</xdr:rowOff>
        </xdr:to>
        <xdr:sp macro="" textlink="">
          <xdr:nvSpPr>
            <xdr:cNvPr id="16632" name="Check Box 19" hidden="1">
              <a:extLst>
                <a:ext uri="{63B3BB69-23CF-44E3-9099-C40C66FF867C}">
                  <a14:compatExt spid="_x0000_s16403"/>
                </a:ext>
                <a:ext uri="{FF2B5EF4-FFF2-40B4-BE49-F238E27FC236}">
                  <a16:creationId xmlns:a16="http://schemas.microsoft.com/office/drawing/2014/main" id="{00000000-0008-0000-0600-0000F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25</xdr:row>
          <xdr:rowOff>371475</xdr:rowOff>
        </xdr:from>
        <xdr:to>
          <xdr:col>6</xdr:col>
          <xdr:colOff>1019175</xdr:colOff>
          <xdr:row>25</xdr:row>
          <xdr:rowOff>714375</xdr:rowOff>
        </xdr:to>
        <xdr:sp macro="" textlink="">
          <xdr:nvSpPr>
            <xdr:cNvPr id="16633" name="Check Box 20" hidden="1">
              <a:extLst>
                <a:ext uri="{63B3BB69-23CF-44E3-9099-C40C66FF867C}">
                  <a14:compatExt spid="_x0000_s16404"/>
                </a:ext>
                <a:ext uri="{FF2B5EF4-FFF2-40B4-BE49-F238E27FC236}">
                  <a16:creationId xmlns:a16="http://schemas.microsoft.com/office/drawing/2014/main" id="{00000000-0008-0000-0600-0000F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22</xdr:row>
      <xdr:rowOff>0</xdr:rowOff>
    </xdr:from>
    <xdr:ext cx="333375" cy="342900"/>
    <xdr:sp macro="" textlink="">
      <xdr:nvSpPr>
        <xdr:cNvPr id="16645"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600-000005410000}"/>
            </a:ext>
          </a:extLst>
        </xdr:cNvPr>
        <xdr:cNvSpPr/>
      </xdr:nvSpPr>
      <xdr:spPr bwMode="auto">
        <a:xfrm>
          <a:off x="13224510" y="120472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22</xdr:row>
      <xdr:rowOff>180975</xdr:rowOff>
    </xdr:from>
    <xdr:ext cx="342900" cy="342900"/>
    <xdr:sp macro="" textlink="">
      <xdr:nvSpPr>
        <xdr:cNvPr id="16646"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600-000006410000}"/>
            </a:ext>
          </a:extLst>
        </xdr:cNvPr>
        <xdr:cNvSpPr/>
      </xdr:nvSpPr>
      <xdr:spPr bwMode="auto">
        <a:xfrm>
          <a:off x="13205460" y="1222819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23</xdr:row>
      <xdr:rowOff>247650</xdr:rowOff>
    </xdr:from>
    <xdr:ext cx="342900" cy="342900"/>
    <xdr:sp macro="" textlink="">
      <xdr:nvSpPr>
        <xdr:cNvPr id="16647"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600-000007410000}"/>
            </a:ext>
          </a:extLst>
        </xdr:cNvPr>
        <xdr:cNvSpPr/>
      </xdr:nvSpPr>
      <xdr:spPr bwMode="auto">
        <a:xfrm>
          <a:off x="13205460" y="135369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24</xdr:row>
      <xdr:rowOff>238125</xdr:rowOff>
    </xdr:from>
    <xdr:ext cx="342900" cy="342900"/>
    <xdr:sp macro="" textlink="">
      <xdr:nvSpPr>
        <xdr:cNvPr id="16648"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600-000008410000}"/>
            </a:ext>
          </a:extLst>
        </xdr:cNvPr>
        <xdr:cNvSpPr/>
      </xdr:nvSpPr>
      <xdr:spPr bwMode="auto">
        <a:xfrm>
          <a:off x="13205460" y="1476946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25</xdr:row>
      <xdr:rowOff>219075</xdr:rowOff>
    </xdr:from>
    <xdr:ext cx="342900" cy="342900"/>
    <xdr:sp macro="" textlink="">
      <xdr:nvSpPr>
        <xdr:cNvPr id="16649"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600-000009410000}"/>
            </a:ext>
          </a:extLst>
        </xdr:cNvPr>
        <xdr:cNvSpPr/>
      </xdr:nvSpPr>
      <xdr:spPr bwMode="auto">
        <a:xfrm>
          <a:off x="13205460" y="1619821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6650"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0A410000}"/>
            </a:ext>
          </a:extLst>
        </xdr:cNvPr>
        <xdr:cNvSpPr/>
      </xdr:nvSpPr>
      <xdr:spPr bwMode="auto">
        <a:xfrm>
          <a:off x="13205460" y="174269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651"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600-00000B410000}"/>
            </a:ext>
          </a:extLst>
        </xdr:cNvPr>
        <xdr:cNvSpPr/>
      </xdr:nvSpPr>
      <xdr:spPr bwMode="auto">
        <a:xfrm>
          <a:off x="132149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52"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600-00000C41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53"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600-00000D41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54"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600-00000E41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55"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600-00000F41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56"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600-00001041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32</xdr:row>
      <xdr:rowOff>0</xdr:rowOff>
    </xdr:from>
    <xdr:ext cx="333375" cy="342900"/>
    <xdr:sp macro="" textlink="">
      <xdr:nvSpPr>
        <xdr:cNvPr id="16661"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600-000015410000}"/>
            </a:ext>
          </a:extLst>
        </xdr:cNvPr>
        <xdr:cNvSpPr/>
      </xdr:nvSpPr>
      <xdr:spPr bwMode="auto">
        <a:xfrm>
          <a:off x="13214985" y="379552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62"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600-000016410000}"/>
            </a:ext>
          </a:extLst>
        </xdr:cNvPr>
        <xdr:cNvSpPr/>
      </xdr:nvSpPr>
      <xdr:spPr bwMode="auto">
        <a:xfrm>
          <a:off x="13205460" y="38145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63"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600-000017410000}"/>
            </a:ext>
          </a:extLst>
        </xdr:cNvPr>
        <xdr:cNvSpPr/>
      </xdr:nvSpPr>
      <xdr:spPr bwMode="auto">
        <a:xfrm>
          <a:off x="13205460" y="394449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64"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600-000018410000}"/>
            </a:ext>
          </a:extLst>
        </xdr:cNvPr>
        <xdr:cNvSpPr/>
      </xdr:nvSpPr>
      <xdr:spPr bwMode="auto">
        <a:xfrm>
          <a:off x="13205460" y="4068699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65"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600-000019410000}"/>
            </a:ext>
          </a:extLst>
        </xdr:cNvPr>
        <xdr:cNvSpPr/>
      </xdr:nvSpPr>
      <xdr:spPr bwMode="auto">
        <a:xfrm>
          <a:off x="13205460" y="4192905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66"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600-00001A410000}"/>
            </a:ext>
          </a:extLst>
        </xdr:cNvPr>
        <xdr:cNvSpPr/>
      </xdr:nvSpPr>
      <xdr:spPr bwMode="auto">
        <a:xfrm>
          <a:off x="132054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667"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600-00001B41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68"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600-00001C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69"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600-00001D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70"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600-00001E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71"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600-00001F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72"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600-000020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673"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600-00002141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74"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600-000022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75"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600-000023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76"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600-000024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77"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600-000025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78"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600-000026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679"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600-00002741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80"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600-000028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81"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600-000029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82"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600-00002A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83"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600-00002B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84"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600-00002C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685"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600-00002D41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86"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600-00002E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87"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600-00002F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88"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600-000030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89"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600-000031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90"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600-000032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32</xdr:row>
      <xdr:rowOff>0</xdr:rowOff>
    </xdr:from>
    <xdr:ext cx="333375" cy="342900"/>
    <xdr:sp macro="" textlink="">
      <xdr:nvSpPr>
        <xdr:cNvPr id="16691"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600-000033410000}"/>
            </a:ext>
          </a:extLst>
        </xdr:cNvPr>
        <xdr:cNvSpPr/>
      </xdr:nvSpPr>
      <xdr:spPr bwMode="auto">
        <a:xfrm>
          <a:off x="13176885" y="429234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92"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600-000034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93"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600-000035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94"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600-000036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95"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600-000037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32</xdr:row>
      <xdr:rowOff>0</xdr:rowOff>
    </xdr:from>
    <xdr:ext cx="342900" cy="342900"/>
    <xdr:sp macro="" textlink="">
      <xdr:nvSpPr>
        <xdr:cNvPr id="16696"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600-000038410000}"/>
            </a:ext>
          </a:extLst>
        </xdr:cNvPr>
        <xdr:cNvSpPr/>
      </xdr:nvSpPr>
      <xdr:spPr bwMode="auto">
        <a:xfrm>
          <a:off x="13167360" y="42923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6697"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39410000}"/>
            </a:ext>
          </a:extLst>
        </xdr:cNvPr>
        <xdr:cNvSpPr/>
      </xdr:nvSpPr>
      <xdr:spPr bwMode="auto">
        <a:xfrm>
          <a:off x="13205460" y="174269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9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3A41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699"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3B41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700"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3C410000}"/>
            </a:ext>
          </a:extLst>
        </xdr:cNvPr>
        <xdr:cNvSpPr/>
      </xdr:nvSpPr>
      <xdr:spPr bwMode="auto">
        <a:xfrm>
          <a:off x="13205460" y="301371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701"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3D410000}"/>
            </a:ext>
          </a:extLst>
        </xdr:cNvPr>
        <xdr:cNvSpPr/>
      </xdr:nvSpPr>
      <xdr:spPr bwMode="auto">
        <a:xfrm>
          <a:off x="13205460" y="301371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702"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3E410000}"/>
            </a:ext>
          </a:extLst>
        </xdr:cNvPr>
        <xdr:cNvSpPr/>
      </xdr:nvSpPr>
      <xdr:spPr bwMode="auto">
        <a:xfrm>
          <a:off x="13205460" y="301371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703"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3F410000}"/>
            </a:ext>
          </a:extLst>
        </xdr:cNvPr>
        <xdr:cNvSpPr/>
      </xdr:nvSpPr>
      <xdr:spPr bwMode="auto">
        <a:xfrm>
          <a:off x="13205460" y="364617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704"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40410000}"/>
            </a:ext>
          </a:extLst>
        </xdr:cNvPr>
        <xdr:cNvSpPr/>
      </xdr:nvSpPr>
      <xdr:spPr bwMode="auto">
        <a:xfrm>
          <a:off x="13205460" y="364617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705"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41410000}"/>
            </a:ext>
          </a:extLst>
        </xdr:cNvPr>
        <xdr:cNvSpPr/>
      </xdr:nvSpPr>
      <xdr:spPr bwMode="auto">
        <a:xfrm>
          <a:off x="13205460" y="364617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32</xdr:row>
      <xdr:rowOff>0</xdr:rowOff>
    </xdr:from>
    <xdr:ext cx="342900" cy="342900"/>
    <xdr:sp macro="" textlink="">
      <xdr:nvSpPr>
        <xdr:cNvPr id="16706"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600-000042410000}"/>
            </a:ext>
          </a:extLst>
        </xdr:cNvPr>
        <xdr:cNvSpPr/>
      </xdr:nvSpPr>
      <xdr:spPr bwMode="auto">
        <a:xfrm>
          <a:off x="13205460" y="3646170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123825</xdr:colOff>
      <xdr:row>0</xdr:row>
      <xdr:rowOff>85726</xdr:rowOff>
    </xdr:from>
    <xdr:ext cx="0" cy="730672"/>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 name="Imagen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4" name="Imagen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6</xdr:col>
          <xdr:colOff>676275</xdr:colOff>
          <xdr:row>16</xdr:row>
          <xdr:rowOff>342900</xdr:rowOff>
        </xdr:from>
        <xdr:to>
          <xdr:col>6</xdr:col>
          <xdr:colOff>1019175</xdr:colOff>
          <xdr:row>16</xdr:row>
          <xdr:rowOff>695325</xdr:rowOff>
        </xdr:to>
        <xdr:sp macro="" textlink="">
          <xdr:nvSpPr>
            <xdr:cNvPr id="18433" name="Check Box 1" hidden="1">
              <a:extLst>
                <a:ext uri="{63B3BB69-23CF-44E3-9099-C40C66FF867C}">
                  <a14:compatExt spid="_x0000_s18433"/>
                </a:ext>
                <a:ext uri="{FF2B5EF4-FFF2-40B4-BE49-F238E27FC236}">
                  <a16:creationId xmlns:a16="http://schemas.microsoft.com/office/drawing/2014/main" id="{00000000-0008-0000-0700-00000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17</xdr:row>
          <xdr:rowOff>409575</xdr:rowOff>
        </xdr:from>
        <xdr:to>
          <xdr:col>6</xdr:col>
          <xdr:colOff>1019175</xdr:colOff>
          <xdr:row>17</xdr:row>
          <xdr:rowOff>752475</xdr:rowOff>
        </xdr:to>
        <xdr:sp macro="" textlink="">
          <xdr:nvSpPr>
            <xdr:cNvPr id="18434" name="Check Box 2" hidden="1">
              <a:extLst>
                <a:ext uri="{63B3BB69-23CF-44E3-9099-C40C66FF867C}">
                  <a14:compatExt spid="_x0000_s18434"/>
                </a:ext>
                <a:ext uri="{FF2B5EF4-FFF2-40B4-BE49-F238E27FC236}">
                  <a16:creationId xmlns:a16="http://schemas.microsoft.com/office/drawing/2014/main" id="{00000000-0008-0000-0700-00000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18</xdr:row>
          <xdr:rowOff>409575</xdr:rowOff>
        </xdr:from>
        <xdr:to>
          <xdr:col>6</xdr:col>
          <xdr:colOff>1019175</xdr:colOff>
          <xdr:row>18</xdr:row>
          <xdr:rowOff>752475</xdr:rowOff>
        </xdr:to>
        <xdr:sp macro="" textlink="">
          <xdr:nvSpPr>
            <xdr:cNvPr id="18435" name="Check Box 3" hidden="1">
              <a:extLst>
                <a:ext uri="{63B3BB69-23CF-44E3-9099-C40C66FF867C}">
                  <a14:compatExt spid="_x0000_s18435"/>
                </a:ext>
                <a:ext uri="{FF2B5EF4-FFF2-40B4-BE49-F238E27FC236}">
                  <a16:creationId xmlns:a16="http://schemas.microsoft.com/office/drawing/2014/main" id="{00000000-0008-0000-0700-00000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19</xdr:row>
          <xdr:rowOff>381000</xdr:rowOff>
        </xdr:from>
        <xdr:to>
          <xdr:col>6</xdr:col>
          <xdr:colOff>1019175</xdr:colOff>
          <xdr:row>19</xdr:row>
          <xdr:rowOff>733425</xdr:rowOff>
        </xdr:to>
        <xdr:sp macro="" textlink="">
          <xdr:nvSpPr>
            <xdr:cNvPr id="18436" name="Check Box 4" hidden="1">
              <a:extLst>
                <a:ext uri="{63B3BB69-23CF-44E3-9099-C40C66FF867C}">
                  <a14:compatExt spid="_x0000_s18436"/>
                </a:ext>
                <a:ext uri="{FF2B5EF4-FFF2-40B4-BE49-F238E27FC236}">
                  <a16:creationId xmlns:a16="http://schemas.microsoft.com/office/drawing/2014/main" id="{00000000-0008-0000-0700-00000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26</xdr:row>
      <xdr:rowOff>0</xdr:rowOff>
    </xdr:from>
    <xdr:ext cx="333375" cy="342900"/>
    <xdr:sp macro="" textlink="">
      <xdr:nvSpPr>
        <xdr:cNvPr id="6" name="Check Box 90" hidden="1">
          <a:extLst>
            <a:ext uri="{63B3BB69-23CF-44E3-9099-C40C66FF867C}">
              <a14:compatExt xmlns:a14="http://schemas.microsoft.com/office/drawing/2010/main" spid="_x0000_s5210"/>
            </a:ext>
            <a:ext uri="{FF2B5EF4-FFF2-40B4-BE49-F238E27FC236}">
              <a16:creationId xmlns:a16="http://schemas.microsoft.com/office/drawing/2014/main" id="{00000000-0008-0000-0700-000006000000}"/>
            </a:ext>
          </a:extLst>
        </xdr:cNvPr>
        <xdr:cNvSpPr/>
      </xdr:nvSpPr>
      <xdr:spPr bwMode="auto">
        <a:xfrm>
          <a:off x="13224510"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7" name="Check Box 91" hidden="1">
          <a:extLst>
            <a:ext uri="{63B3BB69-23CF-44E3-9099-C40C66FF867C}">
              <a14:compatExt xmlns:a14="http://schemas.microsoft.com/office/drawing/2010/main" spid="_x0000_s5211"/>
            </a:ext>
            <a:ext uri="{FF2B5EF4-FFF2-40B4-BE49-F238E27FC236}">
              <a16:creationId xmlns:a16="http://schemas.microsoft.com/office/drawing/2014/main" id="{00000000-0008-0000-0700-000007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8" name="Check Box 92" hidden="1">
          <a:extLst>
            <a:ext uri="{63B3BB69-23CF-44E3-9099-C40C66FF867C}">
              <a14:compatExt xmlns:a14="http://schemas.microsoft.com/office/drawing/2010/main" spid="_x0000_s5212"/>
            </a:ext>
            <a:ext uri="{FF2B5EF4-FFF2-40B4-BE49-F238E27FC236}">
              <a16:creationId xmlns:a16="http://schemas.microsoft.com/office/drawing/2014/main" id="{00000000-0008-0000-0700-000008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9" name="Check Box 93" hidden="1">
          <a:extLst>
            <a:ext uri="{63B3BB69-23CF-44E3-9099-C40C66FF867C}">
              <a14:compatExt xmlns:a14="http://schemas.microsoft.com/office/drawing/2010/main" spid="_x0000_s5213"/>
            </a:ext>
            <a:ext uri="{FF2B5EF4-FFF2-40B4-BE49-F238E27FC236}">
              <a16:creationId xmlns:a16="http://schemas.microsoft.com/office/drawing/2014/main" id="{00000000-0008-0000-0700-000009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0" name="Check Box 94" hidden="1">
          <a:extLst>
            <a:ext uri="{63B3BB69-23CF-44E3-9099-C40C66FF867C}">
              <a14:compatExt xmlns:a14="http://schemas.microsoft.com/office/drawing/2010/main" spid="_x0000_s5214"/>
            </a:ext>
            <a:ext uri="{FF2B5EF4-FFF2-40B4-BE49-F238E27FC236}">
              <a16:creationId xmlns:a16="http://schemas.microsoft.com/office/drawing/2014/main" id="{00000000-0008-0000-0700-00000A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1" name="Check Box 95" hidden="1">
          <a:extLst>
            <a:ext uri="{63B3BB69-23CF-44E3-9099-C40C66FF867C}">
              <a14:compatExt xmlns:a14="http://schemas.microsoft.com/office/drawing/2010/main" spid="_x0000_s5215"/>
            </a:ext>
            <a:ext uri="{FF2B5EF4-FFF2-40B4-BE49-F238E27FC236}">
              <a16:creationId xmlns:a16="http://schemas.microsoft.com/office/drawing/2014/main" id="{00000000-0008-0000-0700-00000B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2"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700-00000C00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3"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700-00000D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4"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700-00000E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5"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700-00000F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6"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700-000010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7"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700-000011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700-00001200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9"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700-000013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0"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700-000014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1"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700-000015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2"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700-000016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3"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700-000017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24"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700-00001800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5"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700-000019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6"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700-00001A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7"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700-00001B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8"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700-00001C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29"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700-00001D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123825</xdr:colOff>
      <xdr:row>0</xdr:row>
      <xdr:rowOff>85726</xdr:rowOff>
    </xdr:from>
    <xdr:ext cx="0" cy="730672"/>
    <xdr:pic>
      <xdr:nvPicPr>
        <xdr:cNvPr id="30" name="Imagen 29">
          <a:extLst>
            <a:ext uri="{FF2B5EF4-FFF2-40B4-BE49-F238E27FC236}">
              <a16:creationId xmlns:a16="http://schemas.microsoft.com/office/drawing/2014/main" id="{00000000-0008-0000-0700-00001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30672"/>
        </a:xfrm>
        <a:prstGeom prst="rect">
          <a:avLst/>
        </a:prstGeom>
      </xdr:spPr>
    </xdr:pic>
    <xdr:clientData/>
  </xdr:oneCellAnchor>
  <xdr:oneCellAnchor>
    <xdr:from>
      <xdr:col>0</xdr:col>
      <xdr:colOff>104775</xdr:colOff>
      <xdr:row>0</xdr:row>
      <xdr:rowOff>38100</xdr:rowOff>
    </xdr:from>
    <xdr:ext cx="0" cy="672464"/>
    <xdr:pic>
      <xdr:nvPicPr>
        <xdr:cNvPr id="31" name="Imagen 30">
          <a:extLst>
            <a:ext uri="{FF2B5EF4-FFF2-40B4-BE49-F238E27FC236}">
              <a16:creationId xmlns:a16="http://schemas.microsoft.com/office/drawing/2014/main" id="{00000000-0008-0000-07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72464"/>
        </a:xfrm>
        <a:prstGeom prst="rect">
          <a:avLst/>
        </a:prstGeom>
      </xdr:spPr>
    </xdr:pic>
    <xdr:clientData/>
  </xdr:oneCellAnchor>
  <xdr:oneCellAnchor>
    <xdr:from>
      <xdr:col>0</xdr:col>
      <xdr:colOff>123825</xdr:colOff>
      <xdr:row>0</xdr:row>
      <xdr:rowOff>85726</xdr:rowOff>
    </xdr:from>
    <xdr:ext cx="0" cy="711622"/>
    <xdr:pic>
      <xdr:nvPicPr>
        <xdr:cNvPr id="32" name="Imagen 31">
          <a:extLst>
            <a:ext uri="{FF2B5EF4-FFF2-40B4-BE49-F238E27FC236}">
              <a16:creationId xmlns:a16="http://schemas.microsoft.com/office/drawing/2014/main" id="{00000000-0008-0000-07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11622"/>
        </a:xfrm>
        <a:prstGeom prst="rect">
          <a:avLst/>
        </a:prstGeom>
      </xdr:spPr>
    </xdr:pic>
    <xdr:clientData/>
  </xdr:oneCellAnchor>
  <xdr:oneCellAnchor>
    <xdr:from>
      <xdr:col>6</xdr:col>
      <xdr:colOff>1009650</xdr:colOff>
      <xdr:row>16</xdr:row>
      <xdr:rowOff>0</xdr:rowOff>
    </xdr:from>
    <xdr:ext cx="333375" cy="342900"/>
    <xdr:sp macro="" textlink="">
      <xdr:nvSpPr>
        <xdr:cNvPr id="33"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700-000021000000}"/>
            </a:ext>
          </a:extLst>
        </xdr:cNvPr>
        <xdr:cNvSpPr/>
      </xdr:nvSpPr>
      <xdr:spPr bwMode="auto">
        <a:xfrm>
          <a:off x="13224510" y="531114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16</xdr:row>
      <xdr:rowOff>180975</xdr:rowOff>
    </xdr:from>
    <xdr:ext cx="342900" cy="342900"/>
    <xdr:sp macro="" textlink="">
      <xdr:nvSpPr>
        <xdr:cNvPr id="34"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700-000022000000}"/>
            </a:ext>
          </a:extLst>
        </xdr:cNvPr>
        <xdr:cNvSpPr/>
      </xdr:nvSpPr>
      <xdr:spPr bwMode="auto">
        <a:xfrm>
          <a:off x="13205460" y="549211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17</xdr:row>
      <xdr:rowOff>247650</xdr:rowOff>
    </xdr:from>
    <xdr:ext cx="342900" cy="342900"/>
    <xdr:sp macro="" textlink="">
      <xdr:nvSpPr>
        <xdr:cNvPr id="35"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700-000023000000}"/>
            </a:ext>
          </a:extLst>
        </xdr:cNvPr>
        <xdr:cNvSpPr/>
      </xdr:nvSpPr>
      <xdr:spPr bwMode="auto">
        <a:xfrm>
          <a:off x="13205460" y="69608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18</xdr:row>
      <xdr:rowOff>238125</xdr:rowOff>
    </xdr:from>
    <xdr:ext cx="342900" cy="342900"/>
    <xdr:sp macro="" textlink="">
      <xdr:nvSpPr>
        <xdr:cNvPr id="36"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700-000024000000}"/>
            </a:ext>
          </a:extLst>
        </xdr:cNvPr>
        <xdr:cNvSpPr/>
      </xdr:nvSpPr>
      <xdr:spPr bwMode="auto">
        <a:xfrm>
          <a:off x="13205460" y="835342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19</xdr:row>
      <xdr:rowOff>219075</xdr:rowOff>
    </xdr:from>
    <xdr:ext cx="342900" cy="342900"/>
    <xdr:sp macro="" textlink="">
      <xdr:nvSpPr>
        <xdr:cNvPr id="37"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700-000025000000}"/>
            </a:ext>
          </a:extLst>
        </xdr:cNvPr>
        <xdr:cNvSpPr/>
      </xdr:nvSpPr>
      <xdr:spPr bwMode="auto">
        <a:xfrm>
          <a:off x="13205460" y="973645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20</xdr:row>
      <xdr:rowOff>0</xdr:rowOff>
    </xdr:from>
    <xdr:ext cx="342900" cy="342900"/>
    <xdr:sp macro="" textlink="">
      <xdr:nvSpPr>
        <xdr:cNvPr id="3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26000000}"/>
            </a:ext>
          </a:extLst>
        </xdr:cNvPr>
        <xdr:cNvSpPr/>
      </xdr:nvSpPr>
      <xdr:spPr bwMode="auto">
        <a:xfrm>
          <a:off x="13205460" y="1091946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39"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700-00002700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40"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700-000028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41"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700-000029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42"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700-00002A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43"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700-00002B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44"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700-00002C00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45"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700-00002D00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46"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700-00002E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47"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700-00002F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48"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700-000030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49"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700-000031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0"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700-000032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51"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700-00003300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2"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700-000034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3"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700-000035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4"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700-000036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5"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700-000037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6"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700-000038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57"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700-00003900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8"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700-00003A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59"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700-00003B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60"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700-00003C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61"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700-00003D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62"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700-00003E00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26</xdr:row>
      <xdr:rowOff>0</xdr:rowOff>
    </xdr:from>
    <xdr:ext cx="333375" cy="342900"/>
    <xdr:sp macro="" textlink="">
      <xdr:nvSpPr>
        <xdr:cNvPr id="63" name="Check Box 169" hidden="1">
          <a:extLst>
            <a:ext uri="{63B3BB69-23CF-44E3-9099-C40C66FF867C}">
              <a14:compatExt xmlns:a14="http://schemas.microsoft.com/office/drawing/2010/main" spid="_x0000_s5289"/>
            </a:ext>
            <a:ext uri="{FF2B5EF4-FFF2-40B4-BE49-F238E27FC236}">
              <a16:creationId xmlns:a16="http://schemas.microsoft.com/office/drawing/2014/main" id="{00000000-0008-0000-0700-00003F000000}"/>
            </a:ext>
          </a:extLst>
        </xdr:cNvPr>
        <xdr:cNvSpPr/>
      </xdr:nvSpPr>
      <xdr:spPr bwMode="auto">
        <a:xfrm>
          <a:off x="13224510"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32" name="Check Box 170" hidden="1">
          <a:extLst>
            <a:ext uri="{63B3BB69-23CF-44E3-9099-C40C66FF867C}">
              <a14:compatExt xmlns:a14="http://schemas.microsoft.com/office/drawing/2010/main" spid="_x0000_s5290"/>
            </a:ext>
            <a:ext uri="{FF2B5EF4-FFF2-40B4-BE49-F238E27FC236}">
              <a16:creationId xmlns:a16="http://schemas.microsoft.com/office/drawing/2014/main" id="{00000000-0008-0000-0700-000000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37" name="Check Box 171" hidden="1">
          <a:extLst>
            <a:ext uri="{63B3BB69-23CF-44E3-9099-C40C66FF867C}">
              <a14:compatExt xmlns:a14="http://schemas.microsoft.com/office/drawing/2010/main" spid="_x0000_s5291"/>
            </a:ext>
            <a:ext uri="{FF2B5EF4-FFF2-40B4-BE49-F238E27FC236}">
              <a16:creationId xmlns:a16="http://schemas.microsoft.com/office/drawing/2014/main" id="{00000000-0008-0000-0700-000005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38" name="Check Box 172" hidden="1">
          <a:extLst>
            <a:ext uri="{63B3BB69-23CF-44E3-9099-C40C66FF867C}">
              <a14:compatExt xmlns:a14="http://schemas.microsoft.com/office/drawing/2010/main" spid="_x0000_s5292"/>
            </a:ext>
            <a:ext uri="{FF2B5EF4-FFF2-40B4-BE49-F238E27FC236}">
              <a16:creationId xmlns:a16="http://schemas.microsoft.com/office/drawing/2014/main" id="{00000000-0008-0000-0700-000006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39" name="Check Box 173" hidden="1">
          <a:extLst>
            <a:ext uri="{63B3BB69-23CF-44E3-9099-C40C66FF867C}">
              <a14:compatExt xmlns:a14="http://schemas.microsoft.com/office/drawing/2010/main" spid="_x0000_s5293"/>
            </a:ext>
            <a:ext uri="{FF2B5EF4-FFF2-40B4-BE49-F238E27FC236}">
              <a16:creationId xmlns:a16="http://schemas.microsoft.com/office/drawing/2014/main" id="{00000000-0008-0000-0700-000007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40" name="Check Box 174" hidden="1">
          <a:extLst>
            <a:ext uri="{63B3BB69-23CF-44E3-9099-C40C66FF867C}">
              <a14:compatExt xmlns:a14="http://schemas.microsoft.com/office/drawing/2010/main" spid="_x0000_s5294"/>
            </a:ext>
            <a:ext uri="{FF2B5EF4-FFF2-40B4-BE49-F238E27FC236}">
              <a16:creationId xmlns:a16="http://schemas.microsoft.com/office/drawing/2014/main" id="{00000000-0008-0000-0700-000008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441" name="Check Box 175" hidden="1">
          <a:extLst>
            <a:ext uri="{63B3BB69-23CF-44E3-9099-C40C66FF867C}">
              <a14:compatExt xmlns:a14="http://schemas.microsoft.com/office/drawing/2010/main" spid="_x0000_s5295"/>
            </a:ext>
            <a:ext uri="{FF2B5EF4-FFF2-40B4-BE49-F238E27FC236}">
              <a16:creationId xmlns:a16="http://schemas.microsoft.com/office/drawing/2014/main" id="{00000000-0008-0000-0700-00000948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42" name="Check Box 176" hidden="1">
          <a:extLst>
            <a:ext uri="{63B3BB69-23CF-44E3-9099-C40C66FF867C}">
              <a14:compatExt xmlns:a14="http://schemas.microsoft.com/office/drawing/2010/main" spid="_x0000_s5296"/>
            </a:ext>
            <a:ext uri="{FF2B5EF4-FFF2-40B4-BE49-F238E27FC236}">
              <a16:creationId xmlns:a16="http://schemas.microsoft.com/office/drawing/2014/main" id="{00000000-0008-0000-0700-00000A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43" name="Check Box 177" hidden="1">
          <a:extLst>
            <a:ext uri="{63B3BB69-23CF-44E3-9099-C40C66FF867C}">
              <a14:compatExt xmlns:a14="http://schemas.microsoft.com/office/drawing/2010/main" spid="_x0000_s5297"/>
            </a:ext>
            <a:ext uri="{FF2B5EF4-FFF2-40B4-BE49-F238E27FC236}">
              <a16:creationId xmlns:a16="http://schemas.microsoft.com/office/drawing/2014/main" id="{00000000-0008-0000-0700-00000B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44" name="Check Box 178" hidden="1">
          <a:extLst>
            <a:ext uri="{63B3BB69-23CF-44E3-9099-C40C66FF867C}">
              <a14:compatExt xmlns:a14="http://schemas.microsoft.com/office/drawing/2010/main" spid="_x0000_s5298"/>
            </a:ext>
            <a:ext uri="{FF2B5EF4-FFF2-40B4-BE49-F238E27FC236}">
              <a16:creationId xmlns:a16="http://schemas.microsoft.com/office/drawing/2014/main" id="{00000000-0008-0000-0700-00000C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45" name="Check Box 179" hidden="1">
          <a:extLst>
            <a:ext uri="{63B3BB69-23CF-44E3-9099-C40C66FF867C}">
              <a14:compatExt xmlns:a14="http://schemas.microsoft.com/office/drawing/2010/main" spid="_x0000_s5299"/>
            </a:ext>
            <a:ext uri="{FF2B5EF4-FFF2-40B4-BE49-F238E27FC236}">
              <a16:creationId xmlns:a16="http://schemas.microsoft.com/office/drawing/2014/main" id="{00000000-0008-0000-0700-00000D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46" name="Check Box 180" hidden="1">
          <a:extLst>
            <a:ext uri="{63B3BB69-23CF-44E3-9099-C40C66FF867C}">
              <a14:compatExt xmlns:a14="http://schemas.microsoft.com/office/drawing/2010/main" spid="_x0000_s5300"/>
            </a:ext>
            <a:ext uri="{FF2B5EF4-FFF2-40B4-BE49-F238E27FC236}">
              <a16:creationId xmlns:a16="http://schemas.microsoft.com/office/drawing/2014/main" id="{00000000-0008-0000-0700-00000E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447" name="Check Box 181" hidden="1">
          <a:extLst>
            <a:ext uri="{63B3BB69-23CF-44E3-9099-C40C66FF867C}">
              <a14:compatExt xmlns:a14="http://schemas.microsoft.com/office/drawing/2010/main" spid="_x0000_s5301"/>
            </a:ext>
            <a:ext uri="{FF2B5EF4-FFF2-40B4-BE49-F238E27FC236}">
              <a16:creationId xmlns:a16="http://schemas.microsoft.com/office/drawing/2014/main" id="{00000000-0008-0000-0700-00000F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48" name="Check Box 182" hidden="1">
          <a:extLst>
            <a:ext uri="{63B3BB69-23CF-44E3-9099-C40C66FF867C}">
              <a14:compatExt xmlns:a14="http://schemas.microsoft.com/office/drawing/2010/main" spid="_x0000_s5302"/>
            </a:ext>
            <a:ext uri="{FF2B5EF4-FFF2-40B4-BE49-F238E27FC236}">
              <a16:creationId xmlns:a16="http://schemas.microsoft.com/office/drawing/2014/main" id="{00000000-0008-0000-0700-000010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49" name="Check Box 183" hidden="1">
          <a:extLst>
            <a:ext uri="{63B3BB69-23CF-44E3-9099-C40C66FF867C}">
              <a14:compatExt xmlns:a14="http://schemas.microsoft.com/office/drawing/2010/main" spid="_x0000_s5303"/>
            </a:ext>
            <a:ext uri="{FF2B5EF4-FFF2-40B4-BE49-F238E27FC236}">
              <a16:creationId xmlns:a16="http://schemas.microsoft.com/office/drawing/2014/main" id="{00000000-0008-0000-0700-000011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50" name="Check Box 184" hidden="1">
          <a:extLst>
            <a:ext uri="{63B3BB69-23CF-44E3-9099-C40C66FF867C}">
              <a14:compatExt xmlns:a14="http://schemas.microsoft.com/office/drawing/2010/main" spid="_x0000_s5304"/>
            </a:ext>
            <a:ext uri="{FF2B5EF4-FFF2-40B4-BE49-F238E27FC236}">
              <a16:creationId xmlns:a16="http://schemas.microsoft.com/office/drawing/2014/main" id="{00000000-0008-0000-0700-000012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51" name="Check Box 185" hidden="1">
          <a:extLst>
            <a:ext uri="{63B3BB69-23CF-44E3-9099-C40C66FF867C}">
              <a14:compatExt xmlns:a14="http://schemas.microsoft.com/office/drawing/2010/main" spid="_x0000_s5305"/>
            </a:ext>
            <a:ext uri="{FF2B5EF4-FFF2-40B4-BE49-F238E27FC236}">
              <a16:creationId xmlns:a16="http://schemas.microsoft.com/office/drawing/2014/main" id="{00000000-0008-0000-0700-000013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52" name="Check Box 186" hidden="1">
          <a:extLst>
            <a:ext uri="{63B3BB69-23CF-44E3-9099-C40C66FF867C}">
              <a14:compatExt xmlns:a14="http://schemas.microsoft.com/office/drawing/2010/main" spid="_x0000_s5306"/>
            </a:ext>
            <a:ext uri="{FF2B5EF4-FFF2-40B4-BE49-F238E27FC236}">
              <a16:creationId xmlns:a16="http://schemas.microsoft.com/office/drawing/2014/main" id="{00000000-0008-0000-0700-000014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453" name="Check Box 187" hidden="1">
          <a:extLst>
            <a:ext uri="{63B3BB69-23CF-44E3-9099-C40C66FF867C}">
              <a14:compatExt xmlns:a14="http://schemas.microsoft.com/office/drawing/2010/main" spid="_x0000_s5307"/>
            </a:ext>
            <a:ext uri="{FF2B5EF4-FFF2-40B4-BE49-F238E27FC236}">
              <a16:creationId xmlns:a16="http://schemas.microsoft.com/office/drawing/2014/main" id="{00000000-0008-0000-0700-000015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54" name="Check Box 188" hidden="1">
          <a:extLst>
            <a:ext uri="{63B3BB69-23CF-44E3-9099-C40C66FF867C}">
              <a14:compatExt xmlns:a14="http://schemas.microsoft.com/office/drawing/2010/main" spid="_x0000_s5308"/>
            </a:ext>
            <a:ext uri="{FF2B5EF4-FFF2-40B4-BE49-F238E27FC236}">
              <a16:creationId xmlns:a16="http://schemas.microsoft.com/office/drawing/2014/main" id="{00000000-0008-0000-0700-000016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55" name="Check Box 189" hidden="1">
          <a:extLst>
            <a:ext uri="{63B3BB69-23CF-44E3-9099-C40C66FF867C}">
              <a14:compatExt xmlns:a14="http://schemas.microsoft.com/office/drawing/2010/main" spid="_x0000_s5309"/>
            </a:ext>
            <a:ext uri="{FF2B5EF4-FFF2-40B4-BE49-F238E27FC236}">
              <a16:creationId xmlns:a16="http://schemas.microsoft.com/office/drawing/2014/main" id="{00000000-0008-0000-0700-000017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56" name="Check Box 190" hidden="1">
          <a:extLst>
            <a:ext uri="{63B3BB69-23CF-44E3-9099-C40C66FF867C}">
              <a14:compatExt xmlns:a14="http://schemas.microsoft.com/office/drawing/2010/main" spid="_x0000_s5310"/>
            </a:ext>
            <a:ext uri="{FF2B5EF4-FFF2-40B4-BE49-F238E27FC236}">
              <a16:creationId xmlns:a16="http://schemas.microsoft.com/office/drawing/2014/main" id="{00000000-0008-0000-0700-000018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57" name="Check Box 191" hidden="1">
          <a:extLst>
            <a:ext uri="{63B3BB69-23CF-44E3-9099-C40C66FF867C}">
              <a14:compatExt xmlns:a14="http://schemas.microsoft.com/office/drawing/2010/main" spid="_x0000_s5311"/>
            </a:ext>
            <a:ext uri="{FF2B5EF4-FFF2-40B4-BE49-F238E27FC236}">
              <a16:creationId xmlns:a16="http://schemas.microsoft.com/office/drawing/2014/main" id="{00000000-0008-0000-0700-000019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58" name="Check Box 192" hidden="1">
          <a:extLst>
            <a:ext uri="{63B3BB69-23CF-44E3-9099-C40C66FF867C}">
              <a14:compatExt xmlns:a14="http://schemas.microsoft.com/office/drawing/2010/main" spid="_x0000_s5312"/>
            </a:ext>
            <a:ext uri="{FF2B5EF4-FFF2-40B4-BE49-F238E27FC236}">
              <a16:creationId xmlns:a16="http://schemas.microsoft.com/office/drawing/2014/main" id="{00000000-0008-0000-0700-00001A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459" name="Check Box 193" hidden="1">
          <a:extLst>
            <a:ext uri="{63B3BB69-23CF-44E3-9099-C40C66FF867C}">
              <a14:compatExt xmlns:a14="http://schemas.microsoft.com/office/drawing/2010/main" spid="_x0000_s5313"/>
            </a:ext>
            <a:ext uri="{FF2B5EF4-FFF2-40B4-BE49-F238E27FC236}">
              <a16:creationId xmlns:a16="http://schemas.microsoft.com/office/drawing/2014/main" id="{00000000-0008-0000-0700-00001B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60" name="Check Box 194" hidden="1">
          <a:extLst>
            <a:ext uri="{63B3BB69-23CF-44E3-9099-C40C66FF867C}">
              <a14:compatExt xmlns:a14="http://schemas.microsoft.com/office/drawing/2010/main" spid="_x0000_s5314"/>
            </a:ext>
            <a:ext uri="{FF2B5EF4-FFF2-40B4-BE49-F238E27FC236}">
              <a16:creationId xmlns:a16="http://schemas.microsoft.com/office/drawing/2014/main" id="{00000000-0008-0000-0700-00001C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61" name="Check Box 195" hidden="1">
          <a:extLst>
            <a:ext uri="{63B3BB69-23CF-44E3-9099-C40C66FF867C}">
              <a14:compatExt xmlns:a14="http://schemas.microsoft.com/office/drawing/2010/main" spid="_x0000_s5315"/>
            </a:ext>
            <a:ext uri="{FF2B5EF4-FFF2-40B4-BE49-F238E27FC236}">
              <a16:creationId xmlns:a16="http://schemas.microsoft.com/office/drawing/2014/main" id="{00000000-0008-0000-0700-00001D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62" name="Check Box 196" hidden="1">
          <a:extLst>
            <a:ext uri="{63B3BB69-23CF-44E3-9099-C40C66FF867C}">
              <a14:compatExt xmlns:a14="http://schemas.microsoft.com/office/drawing/2010/main" spid="_x0000_s5316"/>
            </a:ext>
            <a:ext uri="{FF2B5EF4-FFF2-40B4-BE49-F238E27FC236}">
              <a16:creationId xmlns:a16="http://schemas.microsoft.com/office/drawing/2014/main" id="{00000000-0008-0000-0700-00001E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63" name="Check Box 197" hidden="1">
          <a:extLst>
            <a:ext uri="{63B3BB69-23CF-44E3-9099-C40C66FF867C}">
              <a14:compatExt xmlns:a14="http://schemas.microsoft.com/office/drawing/2010/main" spid="_x0000_s5317"/>
            </a:ext>
            <a:ext uri="{FF2B5EF4-FFF2-40B4-BE49-F238E27FC236}">
              <a16:creationId xmlns:a16="http://schemas.microsoft.com/office/drawing/2014/main" id="{00000000-0008-0000-0700-00001F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26</xdr:row>
      <xdr:rowOff>0</xdr:rowOff>
    </xdr:from>
    <xdr:ext cx="333375" cy="342900"/>
    <xdr:sp macro="" textlink="">
      <xdr:nvSpPr>
        <xdr:cNvPr id="18464" name="Check Box 198" hidden="1">
          <a:extLst>
            <a:ext uri="{63B3BB69-23CF-44E3-9099-C40C66FF867C}">
              <a14:compatExt xmlns:a14="http://schemas.microsoft.com/office/drawing/2010/main" spid="_x0000_s5318"/>
            </a:ext>
            <a:ext uri="{FF2B5EF4-FFF2-40B4-BE49-F238E27FC236}">
              <a16:creationId xmlns:a16="http://schemas.microsoft.com/office/drawing/2014/main" id="{00000000-0008-0000-0700-000020480000}"/>
            </a:ext>
          </a:extLst>
        </xdr:cNvPr>
        <xdr:cNvSpPr/>
      </xdr:nvSpPr>
      <xdr:spPr bwMode="auto">
        <a:xfrm>
          <a:off x="13224510"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65" name="Check Box 199" hidden="1">
          <a:extLst>
            <a:ext uri="{63B3BB69-23CF-44E3-9099-C40C66FF867C}">
              <a14:compatExt xmlns:a14="http://schemas.microsoft.com/office/drawing/2010/main" spid="_x0000_s5319"/>
            </a:ext>
            <a:ext uri="{FF2B5EF4-FFF2-40B4-BE49-F238E27FC236}">
              <a16:creationId xmlns:a16="http://schemas.microsoft.com/office/drawing/2014/main" id="{00000000-0008-0000-0700-000021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66" name="Check Box 200" hidden="1">
          <a:extLst>
            <a:ext uri="{63B3BB69-23CF-44E3-9099-C40C66FF867C}">
              <a14:compatExt xmlns:a14="http://schemas.microsoft.com/office/drawing/2010/main" spid="_x0000_s5320"/>
            </a:ext>
            <a:ext uri="{FF2B5EF4-FFF2-40B4-BE49-F238E27FC236}">
              <a16:creationId xmlns:a16="http://schemas.microsoft.com/office/drawing/2014/main" id="{00000000-0008-0000-0700-000022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67" name="Check Box 201" hidden="1">
          <a:extLst>
            <a:ext uri="{63B3BB69-23CF-44E3-9099-C40C66FF867C}">
              <a14:compatExt xmlns:a14="http://schemas.microsoft.com/office/drawing/2010/main" spid="_x0000_s5321"/>
            </a:ext>
            <a:ext uri="{FF2B5EF4-FFF2-40B4-BE49-F238E27FC236}">
              <a16:creationId xmlns:a16="http://schemas.microsoft.com/office/drawing/2014/main" id="{00000000-0008-0000-0700-000023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68" name="Check Box 202" hidden="1">
          <a:extLst>
            <a:ext uri="{63B3BB69-23CF-44E3-9099-C40C66FF867C}">
              <a14:compatExt xmlns:a14="http://schemas.microsoft.com/office/drawing/2010/main" spid="_x0000_s5322"/>
            </a:ext>
            <a:ext uri="{FF2B5EF4-FFF2-40B4-BE49-F238E27FC236}">
              <a16:creationId xmlns:a16="http://schemas.microsoft.com/office/drawing/2014/main" id="{00000000-0008-0000-0700-000024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69" name="Check Box 203" hidden="1">
          <a:extLst>
            <a:ext uri="{63B3BB69-23CF-44E3-9099-C40C66FF867C}">
              <a14:compatExt xmlns:a14="http://schemas.microsoft.com/office/drawing/2010/main" spid="_x0000_s5323"/>
            </a:ext>
            <a:ext uri="{FF2B5EF4-FFF2-40B4-BE49-F238E27FC236}">
              <a16:creationId xmlns:a16="http://schemas.microsoft.com/office/drawing/2014/main" id="{00000000-0008-0000-0700-000025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470"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700-00002648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71"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700-000027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72"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700-000028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73"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700-000029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74"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700-00002A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475"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700-00002B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476"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700-00002C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77"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700-00002D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78"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700-00002E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79"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700-00002F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80"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700-000030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81"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700-000031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482"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700-000032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83"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700-000033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84"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700-000034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85"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700-000035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86"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700-000036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87" name="Check Box 221" hidden="1">
          <a:extLst>
            <a:ext uri="{63B3BB69-23CF-44E3-9099-C40C66FF867C}">
              <a14:compatExt xmlns:a14="http://schemas.microsoft.com/office/drawing/2010/main" spid="_x0000_s5341"/>
            </a:ext>
            <a:ext uri="{FF2B5EF4-FFF2-40B4-BE49-F238E27FC236}">
              <a16:creationId xmlns:a16="http://schemas.microsoft.com/office/drawing/2014/main" id="{00000000-0008-0000-0700-000037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488"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700-000038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26</xdr:row>
      <xdr:rowOff>0</xdr:rowOff>
    </xdr:from>
    <xdr:ext cx="333375" cy="1383030"/>
    <xdr:sp macro="" textlink="">
      <xdr:nvSpPr>
        <xdr:cNvPr id="18489"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700-000039480000}"/>
            </a:ext>
          </a:extLst>
        </xdr:cNvPr>
        <xdr:cNvSpPr/>
      </xdr:nvSpPr>
      <xdr:spPr bwMode="auto">
        <a:xfrm>
          <a:off x="13224510" y="24048720"/>
          <a:ext cx="333375"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83030"/>
    <xdr:sp macro="" textlink="">
      <xdr:nvSpPr>
        <xdr:cNvPr id="18490"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700-00003A480000}"/>
            </a:ext>
          </a:extLst>
        </xdr:cNvPr>
        <xdr:cNvSpPr/>
      </xdr:nvSpPr>
      <xdr:spPr bwMode="auto">
        <a:xfrm>
          <a:off x="13205460" y="24048720"/>
          <a:ext cx="342900" cy="13830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16355"/>
    <xdr:sp macro="" textlink="">
      <xdr:nvSpPr>
        <xdr:cNvPr id="18491"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700-00003B480000}"/>
            </a:ext>
          </a:extLst>
        </xdr:cNvPr>
        <xdr:cNvSpPr/>
      </xdr:nvSpPr>
      <xdr:spPr bwMode="auto">
        <a:xfrm>
          <a:off x="13205460" y="24048720"/>
          <a:ext cx="342900" cy="13163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25880"/>
    <xdr:sp macro="" textlink="">
      <xdr:nvSpPr>
        <xdr:cNvPr id="18492"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700-00003C480000}"/>
            </a:ext>
          </a:extLst>
        </xdr:cNvPr>
        <xdr:cNvSpPr/>
      </xdr:nvSpPr>
      <xdr:spPr bwMode="auto">
        <a:xfrm>
          <a:off x="13205460" y="24048720"/>
          <a:ext cx="342900" cy="1325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44930"/>
    <xdr:sp macro="" textlink="">
      <xdr:nvSpPr>
        <xdr:cNvPr id="18493"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700-00003D480000}"/>
            </a:ext>
          </a:extLst>
        </xdr:cNvPr>
        <xdr:cNvSpPr/>
      </xdr:nvSpPr>
      <xdr:spPr bwMode="auto">
        <a:xfrm>
          <a:off x="13205460" y="24048720"/>
          <a:ext cx="342900" cy="13449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2247900"/>
    <xdr:sp macro="" textlink="">
      <xdr:nvSpPr>
        <xdr:cNvPr id="18494" name="Check Box 228" hidden="1">
          <a:extLst>
            <a:ext uri="{63B3BB69-23CF-44E3-9099-C40C66FF867C}">
              <a14:compatExt xmlns:a14="http://schemas.microsoft.com/office/drawing/2010/main" spid="_x0000_s5348"/>
            </a:ext>
            <a:ext uri="{FF2B5EF4-FFF2-40B4-BE49-F238E27FC236}">
              <a16:creationId xmlns:a16="http://schemas.microsoft.com/office/drawing/2014/main" id="{00000000-0008-0000-0700-00003E480000}"/>
            </a:ext>
          </a:extLst>
        </xdr:cNvPr>
        <xdr:cNvSpPr/>
      </xdr:nvSpPr>
      <xdr:spPr bwMode="auto">
        <a:xfrm>
          <a:off x="13205460" y="24048720"/>
          <a:ext cx="342900" cy="2247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1611630"/>
    <xdr:sp macro="" textlink="">
      <xdr:nvSpPr>
        <xdr:cNvPr id="18495"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700-00003F480000}"/>
            </a:ext>
          </a:extLst>
        </xdr:cNvPr>
        <xdr:cNvSpPr/>
      </xdr:nvSpPr>
      <xdr:spPr bwMode="auto">
        <a:xfrm>
          <a:off x="13214985" y="24048720"/>
          <a:ext cx="333375" cy="16116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602105"/>
    <xdr:sp macro="" textlink="">
      <xdr:nvSpPr>
        <xdr:cNvPr id="18496"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700-000040480000}"/>
            </a:ext>
          </a:extLst>
        </xdr:cNvPr>
        <xdr:cNvSpPr/>
      </xdr:nvSpPr>
      <xdr:spPr bwMode="auto">
        <a:xfrm>
          <a:off x="13205460" y="24048720"/>
          <a:ext cx="342900" cy="16021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544955"/>
    <xdr:sp macro="" textlink="">
      <xdr:nvSpPr>
        <xdr:cNvPr id="18497"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700-000041480000}"/>
            </a:ext>
          </a:extLst>
        </xdr:cNvPr>
        <xdr:cNvSpPr/>
      </xdr:nvSpPr>
      <xdr:spPr bwMode="auto">
        <a:xfrm>
          <a:off x="13205460" y="2404872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544955"/>
    <xdr:sp macro="" textlink="">
      <xdr:nvSpPr>
        <xdr:cNvPr id="18498"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700-000042480000}"/>
            </a:ext>
          </a:extLst>
        </xdr:cNvPr>
        <xdr:cNvSpPr/>
      </xdr:nvSpPr>
      <xdr:spPr bwMode="auto">
        <a:xfrm>
          <a:off x="13205460" y="2404872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544955"/>
    <xdr:sp macro="" textlink="">
      <xdr:nvSpPr>
        <xdr:cNvPr id="18499"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700-000043480000}"/>
            </a:ext>
          </a:extLst>
        </xdr:cNvPr>
        <xdr:cNvSpPr/>
      </xdr:nvSpPr>
      <xdr:spPr bwMode="auto">
        <a:xfrm>
          <a:off x="13205460" y="24048720"/>
          <a:ext cx="342900" cy="15449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2472690"/>
    <xdr:sp macro="" textlink="">
      <xdr:nvSpPr>
        <xdr:cNvPr id="18500" name="Check Box 234" hidden="1">
          <a:extLst>
            <a:ext uri="{63B3BB69-23CF-44E3-9099-C40C66FF867C}">
              <a14:compatExt xmlns:a14="http://schemas.microsoft.com/office/drawing/2010/main" spid="_x0000_s5354"/>
            </a:ext>
            <a:ext uri="{FF2B5EF4-FFF2-40B4-BE49-F238E27FC236}">
              <a16:creationId xmlns:a16="http://schemas.microsoft.com/office/drawing/2014/main" id="{00000000-0008-0000-0700-000044480000}"/>
            </a:ext>
          </a:extLst>
        </xdr:cNvPr>
        <xdr:cNvSpPr/>
      </xdr:nvSpPr>
      <xdr:spPr bwMode="auto">
        <a:xfrm>
          <a:off x="13205460" y="24048720"/>
          <a:ext cx="342900" cy="24726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1535430"/>
    <xdr:sp macro="" textlink="">
      <xdr:nvSpPr>
        <xdr:cNvPr id="18501" name="Check Box 235" hidden="1">
          <a:extLst>
            <a:ext uri="{63B3BB69-23CF-44E3-9099-C40C66FF867C}">
              <a14:compatExt xmlns:a14="http://schemas.microsoft.com/office/drawing/2010/main" spid="_x0000_s5355"/>
            </a:ext>
            <a:ext uri="{FF2B5EF4-FFF2-40B4-BE49-F238E27FC236}">
              <a16:creationId xmlns:a16="http://schemas.microsoft.com/office/drawing/2014/main" id="{00000000-0008-0000-0700-000045480000}"/>
            </a:ext>
          </a:extLst>
        </xdr:cNvPr>
        <xdr:cNvSpPr/>
      </xdr:nvSpPr>
      <xdr:spPr bwMode="auto">
        <a:xfrm>
          <a:off x="13176885" y="24048720"/>
          <a:ext cx="333375" cy="15354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1525905"/>
    <xdr:sp macro="" textlink="">
      <xdr:nvSpPr>
        <xdr:cNvPr id="18502" name="Check Box 236" hidden="1">
          <a:extLst>
            <a:ext uri="{63B3BB69-23CF-44E3-9099-C40C66FF867C}">
              <a14:compatExt xmlns:a14="http://schemas.microsoft.com/office/drawing/2010/main" spid="_x0000_s5356"/>
            </a:ext>
            <a:ext uri="{FF2B5EF4-FFF2-40B4-BE49-F238E27FC236}">
              <a16:creationId xmlns:a16="http://schemas.microsoft.com/office/drawing/2014/main" id="{00000000-0008-0000-0700-000046480000}"/>
            </a:ext>
          </a:extLst>
        </xdr:cNvPr>
        <xdr:cNvSpPr/>
      </xdr:nvSpPr>
      <xdr:spPr bwMode="auto">
        <a:xfrm>
          <a:off x="13167360" y="24048720"/>
          <a:ext cx="342900" cy="15259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1478280"/>
    <xdr:sp macro="" textlink="">
      <xdr:nvSpPr>
        <xdr:cNvPr id="18503" name="Check Box 237" hidden="1">
          <a:extLst>
            <a:ext uri="{63B3BB69-23CF-44E3-9099-C40C66FF867C}">
              <a14:compatExt xmlns:a14="http://schemas.microsoft.com/office/drawing/2010/main" spid="_x0000_s5357"/>
            </a:ext>
            <a:ext uri="{FF2B5EF4-FFF2-40B4-BE49-F238E27FC236}">
              <a16:creationId xmlns:a16="http://schemas.microsoft.com/office/drawing/2014/main" id="{00000000-0008-0000-0700-000047480000}"/>
            </a:ext>
          </a:extLst>
        </xdr:cNvPr>
        <xdr:cNvSpPr/>
      </xdr:nvSpPr>
      <xdr:spPr bwMode="auto">
        <a:xfrm>
          <a:off x="13167360" y="24048720"/>
          <a:ext cx="342900" cy="14782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1468755"/>
    <xdr:sp macro="" textlink="">
      <xdr:nvSpPr>
        <xdr:cNvPr id="18504" name="Check Box 238" hidden="1">
          <a:extLst>
            <a:ext uri="{63B3BB69-23CF-44E3-9099-C40C66FF867C}">
              <a14:compatExt xmlns:a14="http://schemas.microsoft.com/office/drawing/2010/main" spid="_x0000_s5358"/>
            </a:ext>
            <a:ext uri="{FF2B5EF4-FFF2-40B4-BE49-F238E27FC236}">
              <a16:creationId xmlns:a16="http://schemas.microsoft.com/office/drawing/2014/main" id="{00000000-0008-0000-0700-000048480000}"/>
            </a:ext>
          </a:extLst>
        </xdr:cNvPr>
        <xdr:cNvSpPr/>
      </xdr:nvSpPr>
      <xdr:spPr bwMode="auto">
        <a:xfrm>
          <a:off x="13167360" y="2404872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1468755"/>
    <xdr:sp macro="" textlink="">
      <xdr:nvSpPr>
        <xdr:cNvPr id="18505" name="Check Box 239" hidden="1">
          <a:extLst>
            <a:ext uri="{63B3BB69-23CF-44E3-9099-C40C66FF867C}">
              <a14:compatExt xmlns:a14="http://schemas.microsoft.com/office/drawing/2010/main" spid="_x0000_s5359"/>
            </a:ext>
            <a:ext uri="{FF2B5EF4-FFF2-40B4-BE49-F238E27FC236}">
              <a16:creationId xmlns:a16="http://schemas.microsoft.com/office/drawing/2014/main" id="{00000000-0008-0000-0700-000049480000}"/>
            </a:ext>
          </a:extLst>
        </xdr:cNvPr>
        <xdr:cNvSpPr/>
      </xdr:nvSpPr>
      <xdr:spPr bwMode="auto">
        <a:xfrm>
          <a:off x="13167360" y="24048720"/>
          <a:ext cx="342900" cy="14687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506"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700-00004A48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07"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700-00004B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08"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700-00004C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09"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700-00004D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10"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700-00004E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11"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700-00004F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512"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700-00005048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13"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700-000051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14"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700-000052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15"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700-000053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16"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700-000054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17"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700-000055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518"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700-000056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19"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700-000057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20"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700-000058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21"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700-000059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22"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700-00005A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23"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700-00005B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524"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700-00005C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25"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700-00005D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26"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700-00005E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27"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700-00005F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28"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700-000060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29"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700-000061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530"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700-00006248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31"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700-000063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32"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700-000064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33"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700-000065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34"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700-000066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35"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700-000067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536"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700-00006848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37"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700-000069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38"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700-00006A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39"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700-00006B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40"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700-00006C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41"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700-00006D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542"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700-00006E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43"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700-00006F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44"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700-000070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45"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700-000071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46"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700-000072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47"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700-000073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548"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700-000074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49"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700-000075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50"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700-000076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51"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700-000077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52"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700-000078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53"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700-000079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554"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700-00007A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55"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700-00007B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56"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700-00007C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57"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700-00007D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58"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700-00007E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59"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700-00007F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560"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700-000080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61"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700-000081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62"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700-000082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63"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700-000083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64"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700-000084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65"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700-000085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566"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700-00008648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67"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700-000087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68"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700-000088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69"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700-000089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70"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700-00008A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71"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700-00008B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572"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700-00008C48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73"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700-00008D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74"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700-00008E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75"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700-00008F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76"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700-000090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577"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700-000091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26</xdr:row>
      <xdr:rowOff>0</xdr:rowOff>
    </xdr:from>
    <xdr:ext cx="333375" cy="1390650"/>
    <xdr:sp macro="" textlink="">
      <xdr:nvSpPr>
        <xdr:cNvPr id="18578"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700-000092480000}"/>
            </a:ext>
          </a:extLst>
        </xdr:cNvPr>
        <xdr:cNvSpPr/>
      </xdr:nvSpPr>
      <xdr:spPr bwMode="auto">
        <a:xfrm>
          <a:off x="13224510" y="2404872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90650"/>
    <xdr:sp macro="" textlink="">
      <xdr:nvSpPr>
        <xdr:cNvPr id="18579"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700-000093480000}"/>
            </a:ext>
          </a:extLst>
        </xdr:cNvPr>
        <xdr:cNvSpPr/>
      </xdr:nvSpPr>
      <xdr:spPr bwMode="auto">
        <a:xfrm>
          <a:off x="13205460" y="2404872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23975"/>
    <xdr:sp macro="" textlink="">
      <xdr:nvSpPr>
        <xdr:cNvPr id="18580"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700-000094480000}"/>
            </a:ext>
          </a:extLst>
        </xdr:cNvPr>
        <xdr:cNvSpPr/>
      </xdr:nvSpPr>
      <xdr:spPr bwMode="auto">
        <a:xfrm>
          <a:off x="13205460" y="2404872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33500"/>
    <xdr:sp macro="" textlink="">
      <xdr:nvSpPr>
        <xdr:cNvPr id="18581"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700-000095480000}"/>
            </a:ext>
          </a:extLst>
        </xdr:cNvPr>
        <xdr:cNvSpPr/>
      </xdr:nvSpPr>
      <xdr:spPr bwMode="auto">
        <a:xfrm>
          <a:off x="13205460" y="2404872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52550"/>
    <xdr:sp macro="" textlink="">
      <xdr:nvSpPr>
        <xdr:cNvPr id="18582"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700-000096480000}"/>
            </a:ext>
          </a:extLst>
        </xdr:cNvPr>
        <xdr:cNvSpPr/>
      </xdr:nvSpPr>
      <xdr:spPr bwMode="auto">
        <a:xfrm>
          <a:off x="13205460" y="2404872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583"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700-000097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84"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700-000098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85"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700-000099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86"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700-00009A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87"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700-00009B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88"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700-00009C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589"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700-00009D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90"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700-00009E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91"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700-00009F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92"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700-0000A0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93"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700-0000A1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94"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700-0000A2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595"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700-0000A3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96"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700-0000A4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97"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700-0000A5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98"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700-0000A6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599"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700-0000A7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00"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700-0000A8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601"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700-0000A9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02"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700-0000AA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03"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700-0000AB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04"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700-0000AC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05"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700-0000AD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06"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700-0000AE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607"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700-0000AF48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08"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700-0000B0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09"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700-0000B1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10"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700-0000B2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11"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700-0000B3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12"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700-0000B4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613"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700-0000B548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14"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700-0000B6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15"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700-0000B7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16"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700-0000B8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17"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700-0000B9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18"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700-0000BA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1619250"/>
    <xdr:sp macro="" textlink="">
      <xdr:nvSpPr>
        <xdr:cNvPr id="18619" name="Check Box 229" hidden="1">
          <a:extLst>
            <a:ext uri="{63B3BB69-23CF-44E3-9099-C40C66FF867C}">
              <a14:compatExt xmlns:a14="http://schemas.microsoft.com/office/drawing/2010/main" spid="_x0000_s5349"/>
            </a:ext>
            <a:ext uri="{FF2B5EF4-FFF2-40B4-BE49-F238E27FC236}">
              <a16:creationId xmlns:a16="http://schemas.microsoft.com/office/drawing/2014/main" id="{00000000-0008-0000-0700-0000BB480000}"/>
            </a:ext>
          </a:extLst>
        </xdr:cNvPr>
        <xdr:cNvSpPr/>
      </xdr:nvSpPr>
      <xdr:spPr bwMode="auto">
        <a:xfrm>
          <a:off x="13214985" y="24048720"/>
          <a:ext cx="333375" cy="1619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609725"/>
    <xdr:sp macro="" textlink="">
      <xdr:nvSpPr>
        <xdr:cNvPr id="18620" name="Check Box 230" hidden="1">
          <a:extLst>
            <a:ext uri="{63B3BB69-23CF-44E3-9099-C40C66FF867C}">
              <a14:compatExt xmlns:a14="http://schemas.microsoft.com/office/drawing/2010/main" spid="_x0000_s5350"/>
            </a:ext>
            <a:ext uri="{FF2B5EF4-FFF2-40B4-BE49-F238E27FC236}">
              <a16:creationId xmlns:a16="http://schemas.microsoft.com/office/drawing/2014/main" id="{00000000-0008-0000-0700-0000BC480000}"/>
            </a:ext>
          </a:extLst>
        </xdr:cNvPr>
        <xdr:cNvSpPr/>
      </xdr:nvSpPr>
      <xdr:spPr bwMode="auto">
        <a:xfrm>
          <a:off x="13205460" y="24048720"/>
          <a:ext cx="342900" cy="16097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552575"/>
    <xdr:sp macro="" textlink="">
      <xdr:nvSpPr>
        <xdr:cNvPr id="18621" name="Check Box 231" hidden="1">
          <a:extLst>
            <a:ext uri="{63B3BB69-23CF-44E3-9099-C40C66FF867C}">
              <a14:compatExt xmlns:a14="http://schemas.microsoft.com/office/drawing/2010/main" spid="_x0000_s5351"/>
            </a:ext>
            <a:ext uri="{FF2B5EF4-FFF2-40B4-BE49-F238E27FC236}">
              <a16:creationId xmlns:a16="http://schemas.microsoft.com/office/drawing/2014/main" id="{00000000-0008-0000-0700-0000BD480000}"/>
            </a:ext>
          </a:extLst>
        </xdr:cNvPr>
        <xdr:cNvSpPr/>
      </xdr:nvSpPr>
      <xdr:spPr bwMode="auto">
        <a:xfrm>
          <a:off x="13205460" y="2404872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552575"/>
    <xdr:sp macro="" textlink="">
      <xdr:nvSpPr>
        <xdr:cNvPr id="18622" name="Check Box 232" hidden="1">
          <a:extLst>
            <a:ext uri="{63B3BB69-23CF-44E3-9099-C40C66FF867C}">
              <a14:compatExt xmlns:a14="http://schemas.microsoft.com/office/drawing/2010/main" spid="_x0000_s5352"/>
            </a:ext>
            <a:ext uri="{FF2B5EF4-FFF2-40B4-BE49-F238E27FC236}">
              <a16:creationId xmlns:a16="http://schemas.microsoft.com/office/drawing/2014/main" id="{00000000-0008-0000-0700-0000BE480000}"/>
            </a:ext>
          </a:extLst>
        </xdr:cNvPr>
        <xdr:cNvSpPr/>
      </xdr:nvSpPr>
      <xdr:spPr bwMode="auto">
        <a:xfrm>
          <a:off x="13205460" y="2404872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552575"/>
    <xdr:sp macro="" textlink="">
      <xdr:nvSpPr>
        <xdr:cNvPr id="18623" name="Check Box 233" hidden="1">
          <a:extLst>
            <a:ext uri="{63B3BB69-23CF-44E3-9099-C40C66FF867C}">
              <a14:compatExt xmlns:a14="http://schemas.microsoft.com/office/drawing/2010/main" spid="_x0000_s5353"/>
            </a:ext>
            <a:ext uri="{FF2B5EF4-FFF2-40B4-BE49-F238E27FC236}">
              <a16:creationId xmlns:a16="http://schemas.microsoft.com/office/drawing/2014/main" id="{00000000-0008-0000-0700-0000BF480000}"/>
            </a:ext>
          </a:extLst>
        </xdr:cNvPr>
        <xdr:cNvSpPr/>
      </xdr:nvSpPr>
      <xdr:spPr bwMode="auto">
        <a:xfrm>
          <a:off x="13205460" y="24048720"/>
          <a:ext cx="342900" cy="1552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26</xdr:row>
      <xdr:rowOff>0</xdr:rowOff>
    </xdr:from>
    <xdr:ext cx="333375" cy="1390650"/>
    <xdr:sp macro="" textlink="">
      <xdr:nvSpPr>
        <xdr:cNvPr id="18624" name="Check Box 223" hidden="1">
          <a:extLst>
            <a:ext uri="{63B3BB69-23CF-44E3-9099-C40C66FF867C}">
              <a14:compatExt xmlns:a14="http://schemas.microsoft.com/office/drawing/2010/main" spid="_x0000_s5343"/>
            </a:ext>
            <a:ext uri="{FF2B5EF4-FFF2-40B4-BE49-F238E27FC236}">
              <a16:creationId xmlns:a16="http://schemas.microsoft.com/office/drawing/2014/main" id="{00000000-0008-0000-0700-0000C0480000}"/>
            </a:ext>
          </a:extLst>
        </xdr:cNvPr>
        <xdr:cNvSpPr/>
      </xdr:nvSpPr>
      <xdr:spPr bwMode="auto">
        <a:xfrm>
          <a:off x="13224510" y="24048720"/>
          <a:ext cx="333375"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90650"/>
    <xdr:sp macro="" textlink="">
      <xdr:nvSpPr>
        <xdr:cNvPr id="18625" name="Check Box 224" hidden="1">
          <a:extLst>
            <a:ext uri="{63B3BB69-23CF-44E3-9099-C40C66FF867C}">
              <a14:compatExt xmlns:a14="http://schemas.microsoft.com/office/drawing/2010/main" spid="_x0000_s5344"/>
            </a:ext>
            <a:ext uri="{FF2B5EF4-FFF2-40B4-BE49-F238E27FC236}">
              <a16:creationId xmlns:a16="http://schemas.microsoft.com/office/drawing/2014/main" id="{00000000-0008-0000-0700-0000C1480000}"/>
            </a:ext>
          </a:extLst>
        </xdr:cNvPr>
        <xdr:cNvSpPr/>
      </xdr:nvSpPr>
      <xdr:spPr bwMode="auto">
        <a:xfrm>
          <a:off x="13205460" y="24048720"/>
          <a:ext cx="342900" cy="1390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23975"/>
    <xdr:sp macro="" textlink="">
      <xdr:nvSpPr>
        <xdr:cNvPr id="18626" name="Check Box 225" hidden="1">
          <a:extLst>
            <a:ext uri="{63B3BB69-23CF-44E3-9099-C40C66FF867C}">
              <a14:compatExt xmlns:a14="http://schemas.microsoft.com/office/drawing/2010/main" spid="_x0000_s5345"/>
            </a:ext>
            <a:ext uri="{FF2B5EF4-FFF2-40B4-BE49-F238E27FC236}">
              <a16:creationId xmlns:a16="http://schemas.microsoft.com/office/drawing/2014/main" id="{00000000-0008-0000-0700-0000C2480000}"/>
            </a:ext>
          </a:extLst>
        </xdr:cNvPr>
        <xdr:cNvSpPr/>
      </xdr:nvSpPr>
      <xdr:spPr bwMode="auto">
        <a:xfrm>
          <a:off x="13205460" y="24048720"/>
          <a:ext cx="342900" cy="1323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33500"/>
    <xdr:sp macro="" textlink="">
      <xdr:nvSpPr>
        <xdr:cNvPr id="18627" name="Check Box 226" hidden="1">
          <a:extLst>
            <a:ext uri="{63B3BB69-23CF-44E3-9099-C40C66FF867C}">
              <a14:compatExt xmlns:a14="http://schemas.microsoft.com/office/drawing/2010/main" spid="_x0000_s5346"/>
            </a:ext>
            <a:ext uri="{FF2B5EF4-FFF2-40B4-BE49-F238E27FC236}">
              <a16:creationId xmlns:a16="http://schemas.microsoft.com/office/drawing/2014/main" id="{00000000-0008-0000-0700-0000C3480000}"/>
            </a:ext>
          </a:extLst>
        </xdr:cNvPr>
        <xdr:cNvSpPr/>
      </xdr:nvSpPr>
      <xdr:spPr bwMode="auto">
        <a:xfrm>
          <a:off x="13205460" y="24048720"/>
          <a:ext cx="342900" cy="1333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1352550"/>
    <xdr:sp macro="" textlink="">
      <xdr:nvSpPr>
        <xdr:cNvPr id="18628" name="Check Box 227" hidden="1">
          <a:extLst>
            <a:ext uri="{63B3BB69-23CF-44E3-9099-C40C66FF867C}">
              <a14:compatExt xmlns:a14="http://schemas.microsoft.com/office/drawing/2010/main" spid="_x0000_s5347"/>
            </a:ext>
            <a:ext uri="{FF2B5EF4-FFF2-40B4-BE49-F238E27FC236}">
              <a16:creationId xmlns:a16="http://schemas.microsoft.com/office/drawing/2014/main" id="{00000000-0008-0000-0700-0000C4480000}"/>
            </a:ext>
          </a:extLst>
        </xdr:cNvPr>
        <xdr:cNvSpPr/>
      </xdr:nvSpPr>
      <xdr:spPr bwMode="auto">
        <a:xfrm>
          <a:off x="13205460" y="24048720"/>
          <a:ext cx="342900" cy="1352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629"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700-0000C5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30"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700-0000C6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31"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700-0000C7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32"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700-0000C8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33"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700-0000C9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34"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700-0000CA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635" name="Check Box 216" hidden="1">
          <a:extLst>
            <a:ext uri="{63B3BB69-23CF-44E3-9099-C40C66FF867C}">
              <a14:compatExt xmlns:a14="http://schemas.microsoft.com/office/drawing/2010/main" spid="_x0000_s5336"/>
            </a:ext>
            <a:ext uri="{FF2B5EF4-FFF2-40B4-BE49-F238E27FC236}">
              <a16:creationId xmlns:a16="http://schemas.microsoft.com/office/drawing/2014/main" id="{00000000-0008-0000-0700-0000CB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36" name="Check Box 217" hidden="1">
          <a:extLst>
            <a:ext uri="{63B3BB69-23CF-44E3-9099-C40C66FF867C}">
              <a14:compatExt xmlns:a14="http://schemas.microsoft.com/office/drawing/2010/main" spid="_x0000_s5337"/>
            </a:ext>
            <a:ext uri="{FF2B5EF4-FFF2-40B4-BE49-F238E27FC236}">
              <a16:creationId xmlns:a16="http://schemas.microsoft.com/office/drawing/2014/main" id="{00000000-0008-0000-0700-0000CC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37" name="Check Box 218" hidden="1">
          <a:extLst>
            <a:ext uri="{63B3BB69-23CF-44E3-9099-C40C66FF867C}">
              <a14:compatExt xmlns:a14="http://schemas.microsoft.com/office/drawing/2010/main" spid="_x0000_s5338"/>
            </a:ext>
            <a:ext uri="{FF2B5EF4-FFF2-40B4-BE49-F238E27FC236}">
              <a16:creationId xmlns:a16="http://schemas.microsoft.com/office/drawing/2014/main" id="{00000000-0008-0000-0700-0000CD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38" name="Check Box 219" hidden="1">
          <a:extLst>
            <a:ext uri="{63B3BB69-23CF-44E3-9099-C40C66FF867C}">
              <a14:compatExt xmlns:a14="http://schemas.microsoft.com/office/drawing/2010/main" spid="_x0000_s5339"/>
            </a:ext>
            <a:ext uri="{FF2B5EF4-FFF2-40B4-BE49-F238E27FC236}">
              <a16:creationId xmlns:a16="http://schemas.microsoft.com/office/drawing/2014/main" id="{00000000-0008-0000-0700-0000CE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39" name="Check Box 220" hidden="1">
          <a:extLst>
            <a:ext uri="{63B3BB69-23CF-44E3-9099-C40C66FF867C}">
              <a14:compatExt xmlns:a14="http://schemas.microsoft.com/office/drawing/2010/main" spid="_x0000_s5340"/>
            </a:ext>
            <a:ext uri="{FF2B5EF4-FFF2-40B4-BE49-F238E27FC236}">
              <a16:creationId xmlns:a16="http://schemas.microsoft.com/office/drawing/2014/main" id="{00000000-0008-0000-0700-0000CF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40" name="Check Box 222" hidden="1">
          <a:extLst>
            <a:ext uri="{63B3BB69-23CF-44E3-9099-C40C66FF867C}">
              <a14:compatExt xmlns:a14="http://schemas.microsoft.com/office/drawing/2010/main" spid="_x0000_s5342"/>
            </a:ext>
            <a:ext uri="{FF2B5EF4-FFF2-40B4-BE49-F238E27FC236}">
              <a16:creationId xmlns:a16="http://schemas.microsoft.com/office/drawing/2014/main" id="{00000000-0008-0000-0700-0000D0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641"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700-0000D1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42"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700-0000D2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43"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700-0000D3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44"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700-0000D4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45"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700-0000D5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46"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700-0000D6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647" name="Check Box 210" hidden="1">
          <a:extLst>
            <a:ext uri="{63B3BB69-23CF-44E3-9099-C40C66FF867C}">
              <a14:compatExt xmlns:a14="http://schemas.microsoft.com/office/drawing/2010/main" spid="_x0000_s5330"/>
            </a:ext>
            <a:ext uri="{FF2B5EF4-FFF2-40B4-BE49-F238E27FC236}">
              <a16:creationId xmlns:a16="http://schemas.microsoft.com/office/drawing/2014/main" id="{00000000-0008-0000-0700-0000D748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48" name="Check Box 211" hidden="1">
          <a:extLst>
            <a:ext uri="{63B3BB69-23CF-44E3-9099-C40C66FF867C}">
              <a14:compatExt xmlns:a14="http://schemas.microsoft.com/office/drawing/2010/main" spid="_x0000_s5331"/>
            </a:ext>
            <a:ext uri="{FF2B5EF4-FFF2-40B4-BE49-F238E27FC236}">
              <a16:creationId xmlns:a16="http://schemas.microsoft.com/office/drawing/2014/main" id="{00000000-0008-0000-0700-0000D8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49" name="Check Box 212" hidden="1">
          <a:extLst>
            <a:ext uri="{63B3BB69-23CF-44E3-9099-C40C66FF867C}">
              <a14:compatExt xmlns:a14="http://schemas.microsoft.com/office/drawing/2010/main" spid="_x0000_s5332"/>
            </a:ext>
            <a:ext uri="{FF2B5EF4-FFF2-40B4-BE49-F238E27FC236}">
              <a16:creationId xmlns:a16="http://schemas.microsoft.com/office/drawing/2014/main" id="{00000000-0008-0000-0700-0000D9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50" name="Check Box 213" hidden="1">
          <a:extLst>
            <a:ext uri="{63B3BB69-23CF-44E3-9099-C40C66FF867C}">
              <a14:compatExt xmlns:a14="http://schemas.microsoft.com/office/drawing/2010/main" spid="_x0000_s5333"/>
            </a:ext>
            <a:ext uri="{FF2B5EF4-FFF2-40B4-BE49-F238E27FC236}">
              <a16:creationId xmlns:a16="http://schemas.microsoft.com/office/drawing/2014/main" id="{00000000-0008-0000-0700-0000DA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51" name="Check Box 214" hidden="1">
          <a:extLst>
            <a:ext uri="{63B3BB69-23CF-44E3-9099-C40C66FF867C}">
              <a14:compatExt xmlns:a14="http://schemas.microsoft.com/office/drawing/2010/main" spid="_x0000_s5334"/>
            </a:ext>
            <a:ext uri="{FF2B5EF4-FFF2-40B4-BE49-F238E27FC236}">
              <a16:creationId xmlns:a16="http://schemas.microsoft.com/office/drawing/2014/main" id="{00000000-0008-0000-0700-0000DB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652" name="Check Box 215" hidden="1">
          <a:extLst>
            <a:ext uri="{63B3BB69-23CF-44E3-9099-C40C66FF867C}">
              <a14:compatExt xmlns:a14="http://schemas.microsoft.com/office/drawing/2010/main" spid="_x0000_s5335"/>
            </a:ext>
            <a:ext uri="{FF2B5EF4-FFF2-40B4-BE49-F238E27FC236}">
              <a16:creationId xmlns:a16="http://schemas.microsoft.com/office/drawing/2014/main" id="{00000000-0008-0000-0700-0000DC48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653"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700-0000DD48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54"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700-0000DE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55"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700-0000DF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56"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700-0000E0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57"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700-0000E1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58"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700-0000E2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659" name="Check Box 204" hidden="1">
          <a:extLst>
            <a:ext uri="{63B3BB69-23CF-44E3-9099-C40C66FF867C}">
              <a14:compatExt xmlns:a14="http://schemas.microsoft.com/office/drawing/2010/main" spid="_x0000_s5324"/>
            </a:ext>
            <a:ext uri="{FF2B5EF4-FFF2-40B4-BE49-F238E27FC236}">
              <a16:creationId xmlns:a16="http://schemas.microsoft.com/office/drawing/2014/main" id="{00000000-0008-0000-0700-0000E348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60" name="Check Box 205" hidden="1">
          <a:extLst>
            <a:ext uri="{63B3BB69-23CF-44E3-9099-C40C66FF867C}">
              <a14:compatExt xmlns:a14="http://schemas.microsoft.com/office/drawing/2010/main" spid="_x0000_s5325"/>
            </a:ext>
            <a:ext uri="{FF2B5EF4-FFF2-40B4-BE49-F238E27FC236}">
              <a16:creationId xmlns:a16="http://schemas.microsoft.com/office/drawing/2014/main" id="{00000000-0008-0000-0700-0000E4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61" name="Check Box 206" hidden="1">
          <a:extLst>
            <a:ext uri="{63B3BB69-23CF-44E3-9099-C40C66FF867C}">
              <a14:compatExt xmlns:a14="http://schemas.microsoft.com/office/drawing/2010/main" spid="_x0000_s5326"/>
            </a:ext>
            <a:ext uri="{FF2B5EF4-FFF2-40B4-BE49-F238E27FC236}">
              <a16:creationId xmlns:a16="http://schemas.microsoft.com/office/drawing/2014/main" id="{00000000-0008-0000-0700-0000E5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62" name="Check Box 207" hidden="1">
          <a:extLst>
            <a:ext uri="{63B3BB69-23CF-44E3-9099-C40C66FF867C}">
              <a14:compatExt xmlns:a14="http://schemas.microsoft.com/office/drawing/2010/main" spid="_x0000_s5327"/>
            </a:ext>
            <a:ext uri="{FF2B5EF4-FFF2-40B4-BE49-F238E27FC236}">
              <a16:creationId xmlns:a16="http://schemas.microsoft.com/office/drawing/2014/main" id="{00000000-0008-0000-0700-0000E6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63" name="Check Box 208" hidden="1">
          <a:extLst>
            <a:ext uri="{63B3BB69-23CF-44E3-9099-C40C66FF867C}">
              <a14:compatExt xmlns:a14="http://schemas.microsoft.com/office/drawing/2010/main" spid="_x0000_s5328"/>
            </a:ext>
            <a:ext uri="{FF2B5EF4-FFF2-40B4-BE49-F238E27FC236}">
              <a16:creationId xmlns:a16="http://schemas.microsoft.com/office/drawing/2014/main" id="{00000000-0008-0000-0700-0000E7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64" name="Check Box 209" hidden="1">
          <a:extLst>
            <a:ext uri="{63B3BB69-23CF-44E3-9099-C40C66FF867C}">
              <a14:compatExt xmlns:a14="http://schemas.microsoft.com/office/drawing/2010/main" spid="_x0000_s5329"/>
            </a:ext>
            <a:ext uri="{FF2B5EF4-FFF2-40B4-BE49-F238E27FC236}">
              <a16:creationId xmlns:a16="http://schemas.microsoft.com/office/drawing/2014/main" id="{00000000-0008-0000-0700-0000E8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26</xdr:row>
      <xdr:rowOff>0</xdr:rowOff>
    </xdr:from>
    <xdr:ext cx="333375" cy="342900"/>
    <xdr:sp macro="" textlink="">
      <xdr:nvSpPr>
        <xdr:cNvPr id="18665"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700-0000E9480000}"/>
            </a:ext>
          </a:extLst>
        </xdr:cNvPr>
        <xdr:cNvSpPr/>
      </xdr:nvSpPr>
      <xdr:spPr bwMode="auto">
        <a:xfrm>
          <a:off x="13224510"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66"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700-0000EA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67"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700-0000EB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68"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700-0000EC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69"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700-0000ED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70"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EE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1009650</xdr:colOff>
      <xdr:row>26</xdr:row>
      <xdr:rowOff>0</xdr:rowOff>
    </xdr:from>
    <xdr:ext cx="333375" cy="342900"/>
    <xdr:sp macro="" textlink="">
      <xdr:nvSpPr>
        <xdr:cNvPr id="18675"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700-0000F3480000}"/>
            </a:ext>
          </a:extLst>
        </xdr:cNvPr>
        <xdr:cNvSpPr/>
      </xdr:nvSpPr>
      <xdr:spPr bwMode="auto">
        <a:xfrm>
          <a:off x="13224510" y="1865376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76"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700-0000F4480000}"/>
            </a:ext>
          </a:extLst>
        </xdr:cNvPr>
        <xdr:cNvSpPr/>
      </xdr:nvSpPr>
      <xdr:spPr bwMode="auto">
        <a:xfrm>
          <a:off x="13205460" y="1883473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77"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700-0000F5480000}"/>
            </a:ext>
          </a:extLst>
        </xdr:cNvPr>
        <xdr:cNvSpPr/>
      </xdr:nvSpPr>
      <xdr:spPr bwMode="auto">
        <a:xfrm>
          <a:off x="13205460" y="2014347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78"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700-0000F6480000}"/>
            </a:ext>
          </a:extLst>
        </xdr:cNvPr>
        <xdr:cNvSpPr/>
      </xdr:nvSpPr>
      <xdr:spPr bwMode="auto">
        <a:xfrm>
          <a:off x="13205460" y="2137600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79"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700-0000F7480000}"/>
            </a:ext>
          </a:extLst>
        </xdr:cNvPr>
        <xdr:cNvSpPr/>
      </xdr:nvSpPr>
      <xdr:spPr bwMode="auto">
        <a:xfrm>
          <a:off x="13205460" y="2281237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80"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F848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6</xdr:col>
          <xdr:colOff>676275</xdr:colOff>
          <xdr:row>22</xdr:row>
          <xdr:rowOff>333375</xdr:rowOff>
        </xdr:from>
        <xdr:to>
          <xdr:col>6</xdr:col>
          <xdr:colOff>1019175</xdr:colOff>
          <xdr:row>22</xdr:row>
          <xdr:rowOff>676275</xdr:rowOff>
        </xdr:to>
        <xdr:sp macro="" textlink="">
          <xdr:nvSpPr>
            <xdr:cNvPr id="5" name="Check Box 9" hidden="1">
              <a:extLst>
                <a:ext uri="{63B3BB69-23CF-44E3-9099-C40C66FF867C}">
                  <a14:compatExt spid="_x0000_s18441"/>
                </a:ext>
                <a:ext uri="{FF2B5EF4-FFF2-40B4-BE49-F238E27FC236}">
                  <a16:creationId xmlns:a16="http://schemas.microsoft.com/office/drawing/2014/main" id="{00000000-0008-0000-07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23</xdr:row>
          <xdr:rowOff>409575</xdr:rowOff>
        </xdr:from>
        <xdr:to>
          <xdr:col>6</xdr:col>
          <xdr:colOff>1019175</xdr:colOff>
          <xdr:row>23</xdr:row>
          <xdr:rowOff>752475</xdr:rowOff>
        </xdr:to>
        <xdr:sp macro="" textlink="">
          <xdr:nvSpPr>
            <xdr:cNvPr id="18671" name="Check Box 10" hidden="1">
              <a:extLst>
                <a:ext uri="{63B3BB69-23CF-44E3-9099-C40C66FF867C}">
                  <a14:compatExt spid="_x0000_s18442"/>
                </a:ext>
                <a:ext uri="{FF2B5EF4-FFF2-40B4-BE49-F238E27FC236}">
                  <a16:creationId xmlns:a16="http://schemas.microsoft.com/office/drawing/2014/main" id="{00000000-0008-0000-0700-0000E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24</xdr:row>
          <xdr:rowOff>390525</xdr:rowOff>
        </xdr:from>
        <xdr:to>
          <xdr:col>6</xdr:col>
          <xdr:colOff>1019175</xdr:colOff>
          <xdr:row>24</xdr:row>
          <xdr:rowOff>733425</xdr:rowOff>
        </xdr:to>
        <xdr:sp macro="" textlink="">
          <xdr:nvSpPr>
            <xdr:cNvPr id="18672" name="Check Box 11" hidden="1">
              <a:extLst>
                <a:ext uri="{63B3BB69-23CF-44E3-9099-C40C66FF867C}">
                  <a14:compatExt spid="_x0000_s18443"/>
                </a:ext>
                <a:ext uri="{FF2B5EF4-FFF2-40B4-BE49-F238E27FC236}">
                  <a16:creationId xmlns:a16="http://schemas.microsoft.com/office/drawing/2014/main" id="{00000000-0008-0000-0700-0000F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25</xdr:row>
          <xdr:rowOff>371475</xdr:rowOff>
        </xdr:from>
        <xdr:to>
          <xdr:col>6</xdr:col>
          <xdr:colOff>1019175</xdr:colOff>
          <xdr:row>25</xdr:row>
          <xdr:rowOff>714375</xdr:rowOff>
        </xdr:to>
        <xdr:sp macro="" textlink="">
          <xdr:nvSpPr>
            <xdr:cNvPr id="18673" name="Check Box 12" hidden="1">
              <a:extLst>
                <a:ext uri="{63B3BB69-23CF-44E3-9099-C40C66FF867C}">
                  <a14:compatExt spid="_x0000_s18444"/>
                </a:ext>
                <a:ext uri="{FF2B5EF4-FFF2-40B4-BE49-F238E27FC236}">
                  <a16:creationId xmlns:a16="http://schemas.microsoft.com/office/drawing/2014/main" id="{00000000-0008-0000-0700-0000F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6</xdr:col>
      <xdr:colOff>1009650</xdr:colOff>
      <xdr:row>22</xdr:row>
      <xdr:rowOff>0</xdr:rowOff>
    </xdr:from>
    <xdr:ext cx="333375" cy="342900"/>
    <xdr:sp macro="" textlink="">
      <xdr:nvSpPr>
        <xdr:cNvPr id="18685" name="Check Box 139" hidden="1">
          <a:extLst>
            <a:ext uri="{63B3BB69-23CF-44E3-9099-C40C66FF867C}">
              <a14:compatExt xmlns:a14="http://schemas.microsoft.com/office/drawing/2010/main" spid="_x0000_s5259"/>
            </a:ext>
            <a:ext uri="{FF2B5EF4-FFF2-40B4-BE49-F238E27FC236}">
              <a16:creationId xmlns:a16="http://schemas.microsoft.com/office/drawing/2014/main" id="{00000000-0008-0000-0700-0000FD480000}"/>
            </a:ext>
          </a:extLst>
        </xdr:cNvPr>
        <xdr:cNvSpPr/>
      </xdr:nvSpPr>
      <xdr:spPr bwMode="auto">
        <a:xfrm>
          <a:off x="13224510" y="120472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22</xdr:row>
      <xdr:rowOff>180975</xdr:rowOff>
    </xdr:from>
    <xdr:ext cx="342900" cy="342900"/>
    <xdr:sp macro="" textlink="">
      <xdr:nvSpPr>
        <xdr:cNvPr id="18686" name="Check Box 140" hidden="1">
          <a:extLst>
            <a:ext uri="{63B3BB69-23CF-44E3-9099-C40C66FF867C}">
              <a14:compatExt xmlns:a14="http://schemas.microsoft.com/office/drawing/2010/main" spid="_x0000_s5260"/>
            </a:ext>
            <a:ext uri="{FF2B5EF4-FFF2-40B4-BE49-F238E27FC236}">
              <a16:creationId xmlns:a16="http://schemas.microsoft.com/office/drawing/2014/main" id="{00000000-0008-0000-0700-0000FE480000}"/>
            </a:ext>
          </a:extLst>
        </xdr:cNvPr>
        <xdr:cNvSpPr/>
      </xdr:nvSpPr>
      <xdr:spPr bwMode="auto">
        <a:xfrm>
          <a:off x="13205460" y="1222819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23</xdr:row>
      <xdr:rowOff>247650</xdr:rowOff>
    </xdr:from>
    <xdr:ext cx="342900" cy="342900"/>
    <xdr:sp macro="" textlink="">
      <xdr:nvSpPr>
        <xdr:cNvPr id="18687" name="Check Box 141" hidden="1">
          <a:extLst>
            <a:ext uri="{63B3BB69-23CF-44E3-9099-C40C66FF867C}">
              <a14:compatExt xmlns:a14="http://schemas.microsoft.com/office/drawing/2010/main" spid="_x0000_s5261"/>
            </a:ext>
            <a:ext uri="{FF2B5EF4-FFF2-40B4-BE49-F238E27FC236}">
              <a16:creationId xmlns:a16="http://schemas.microsoft.com/office/drawing/2014/main" id="{00000000-0008-0000-0700-0000FF480000}"/>
            </a:ext>
          </a:extLst>
        </xdr:cNvPr>
        <xdr:cNvSpPr/>
      </xdr:nvSpPr>
      <xdr:spPr bwMode="auto">
        <a:xfrm>
          <a:off x="13205460" y="1353693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24</xdr:row>
      <xdr:rowOff>238125</xdr:rowOff>
    </xdr:from>
    <xdr:ext cx="342900" cy="342900"/>
    <xdr:sp macro="" textlink="">
      <xdr:nvSpPr>
        <xdr:cNvPr id="18688" name="Check Box 142" hidden="1">
          <a:extLst>
            <a:ext uri="{63B3BB69-23CF-44E3-9099-C40C66FF867C}">
              <a14:compatExt xmlns:a14="http://schemas.microsoft.com/office/drawing/2010/main" spid="_x0000_s5262"/>
            </a:ext>
            <a:ext uri="{FF2B5EF4-FFF2-40B4-BE49-F238E27FC236}">
              <a16:creationId xmlns:a16="http://schemas.microsoft.com/office/drawing/2014/main" id="{00000000-0008-0000-0700-000000490000}"/>
            </a:ext>
          </a:extLst>
        </xdr:cNvPr>
        <xdr:cNvSpPr/>
      </xdr:nvSpPr>
      <xdr:spPr bwMode="auto">
        <a:xfrm>
          <a:off x="13205460" y="1476946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25</xdr:row>
      <xdr:rowOff>219075</xdr:rowOff>
    </xdr:from>
    <xdr:ext cx="342900" cy="342900"/>
    <xdr:sp macro="" textlink="">
      <xdr:nvSpPr>
        <xdr:cNvPr id="18689" name="Check Box 143" hidden="1">
          <a:extLst>
            <a:ext uri="{63B3BB69-23CF-44E3-9099-C40C66FF867C}">
              <a14:compatExt xmlns:a14="http://schemas.microsoft.com/office/drawing/2010/main" spid="_x0000_s5263"/>
            </a:ext>
            <a:ext uri="{FF2B5EF4-FFF2-40B4-BE49-F238E27FC236}">
              <a16:creationId xmlns:a16="http://schemas.microsoft.com/office/drawing/2014/main" id="{00000000-0008-0000-0700-000001490000}"/>
            </a:ext>
          </a:extLst>
        </xdr:cNvPr>
        <xdr:cNvSpPr/>
      </xdr:nvSpPr>
      <xdr:spPr bwMode="auto">
        <a:xfrm>
          <a:off x="13205460" y="16198215"/>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90"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02490000}"/>
            </a:ext>
          </a:extLst>
        </xdr:cNvPr>
        <xdr:cNvSpPr/>
      </xdr:nvSpPr>
      <xdr:spPr bwMode="auto">
        <a:xfrm>
          <a:off x="13205460" y="174269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691"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700-00000349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92"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700-000004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93"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700-000005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94"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700-000006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95"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700-000007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96"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700-000008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1000125</xdr:colOff>
      <xdr:row>26</xdr:row>
      <xdr:rowOff>0</xdr:rowOff>
    </xdr:from>
    <xdr:ext cx="333375" cy="342900"/>
    <xdr:sp macro="" textlink="">
      <xdr:nvSpPr>
        <xdr:cNvPr id="18697" name="Check Box 145" hidden="1">
          <a:extLst>
            <a:ext uri="{63B3BB69-23CF-44E3-9099-C40C66FF867C}">
              <a14:compatExt xmlns:a14="http://schemas.microsoft.com/office/drawing/2010/main" spid="_x0000_s5265"/>
            </a:ext>
            <a:ext uri="{FF2B5EF4-FFF2-40B4-BE49-F238E27FC236}">
              <a16:creationId xmlns:a16="http://schemas.microsoft.com/office/drawing/2014/main" id="{00000000-0008-0000-0700-000009490000}"/>
            </a:ext>
          </a:extLst>
        </xdr:cNvPr>
        <xdr:cNvSpPr/>
      </xdr:nvSpPr>
      <xdr:spPr bwMode="auto">
        <a:xfrm>
          <a:off x="132149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98" name="Check Box 146" hidden="1">
          <a:extLst>
            <a:ext uri="{63B3BB69-23CF-44E3-9099-C40C66FF867C}">
              <a14:compatExt xmlns:a14="http://schemas.microsoft.com/office/drawing/2010/main" spid="_x0000_s5266"/>
            </a:ext>
            <a:ext uri="{FF2B5EF4-FFF2-40B4-BE49-F238E27FC236}">
              <a16:creationId xmlns:a16="http://schemas.microsoft.com/office/drawing/2014/main" id="{00000000-0008-0000-0700-00000A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699" name="Check Box 147" hidden="1">
          <a:extLst>
            <a:ext uri="{63B3BB69-23CF-44E3-9099-C40C66FF867C}">
              <a14:compatExt xmlns:a14="http://schemas.microsoft.com/office/drawing/2010/main" spid="_x0000_s5267"/>
            </a:ext>
            <a:ext uri="{FF2B5EF4-FFF2-40B4-BE49-F238E27FC236}">
              <a16:creationId xmlns:a16="http://schemas.microsoft.com/office/drawing/2014/main" id="{00000000-0008-0000-0700-00000B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00" name="Check Box 148" hidden="1">
          <a:extLst>
            <a:ext uri="{63B3BB69-23CF-44E3-9099-C40C66FF867C}">
              <a14:compatExt xmlns:a14="http://schemas.microsoft.com/office/drawing/2010/main" spid="_x0000_s5268"/>
            </a:ext>
            <a:ext uri="{FF2B5EF4-FFF2-40B4-BE49-F238E27FC236}">
              <a16:creationId xmlns:a16="http://schemas.microsoft.com/office/drawing/2014/main" id="{00000000-0008-0000-0700-00000C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01" name="Check Box 149" hidden="1">
          <a:extLst>
            <a:ext uri="{63B3BB69-23CF-44E3-9099-C40C66FF867C}">
              <a14:compatExt xmlns:a14="http://schemas.microsoft.com/office/drawing/2010/main" spid="_x0000_s5269"/>
            </a:ext>
            <a:ext uri="{FF2B5EF4-FFF2-40B4-BE49-F238E27FC236}">
              <a16:creationId xmlns:a16="http://schemas.microsoft.com/office/drawing/2014/main" id="{00000000-0008-0000-0700-00000D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02" name="Check Box 150" hidden="1">
          <a:extLst>
            <a:ext uri="{63B3BB69-23CF-44E3-9099-C40C66FF867C}">
              <a14:compatExt xmlns:a14="http://schemas.microsoft.com/office/drawing/2010/main" spid="_x0000_s5270"/>
            </a:ext>
            <a:ext uri="{FF2B5EF4-FFF2-40B4-BE49-F238E27FC236}">
              <a16:creationId xmlns:a16="http://schemas.microsoft.com/office/drawing/2014/main" id="{00000000-0008-0000-0700-00000E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703"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700-00000F49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04"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700-000010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05"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700-000011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06"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700-000012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07"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700-000013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08"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700-000014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709" name="Check Box 151" hidden="1">
          <a:extLst>
            <a:ext uri="{63B3BB69-23CF-44E3-9099-C40C66FF867C}">
              <a14:compatExt xmlns:a14="http://schemas.microsoft.com/office/drawing/2010/main" spid="_x0000_s5271"/>
            </a:ext>
            <a:ext uri="{FF2B5EF4-FFF2-40B4-BE49-F238E27FC236}">
              <a16:creationId xmlns:a16="http://schemas.microsoft.com/office/drawing/2014/main" id="{00000000-0008-0000-0700-00001549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10" name="Check Box 152" hidden="1">
          <a:extLst>
            <a:ext uri="{63B3BB69-23CF-44E3-9099-C40C66FF867C}">
              <a14:compatExt xmlns:a14="http://schemas.microsoft.com/office/drawing/2010/main" spid="_x0000_s5272"/>
            </a:ext>
            <a:ext uri="{FF2B5EF4-FFF2-40B4-BE49-F238E27FC236}">
              <a16:creationId xmlns:a16="http://schemas.microsoft.com/office/drawing/2014/main" id="{00000000-0008-0000-0700-000016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11" name="Check Box 153" hidden="1">
          <a:extLst>
            <a:ext uri="{63B3BB69-23CF-44E3-9099-C40C66FF867C}">
              <a14:compatExt xmlns:a14="http://schemas.microsoft.com/office/drawing/2010/main" spid="_x0000_s5273"/>
            </a:ext>
            <a:ext uri="{FF2B5EF4-FFF2-40B4-BE49-F238E27FC236}">
              <a16:creationId xmlns:a16="http://schemas.microsoft.com/office/drawing/2014/main" id="{00000000-0008-0000-0700-000017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12" name="Check Box 154" hidden="1">
          <a:extLst>
            <a:ext uri="{63B3BB69-23CF-44E3-9099-C40C66FF867C}">
              <a14:compatExt xmlns:a14="http://schemas.microsoft.com/office/drawing/2010/main" spid="_x0000_s5274"/>
            </a:ext>
            <a:ext uri="{FF2B5EF4-FFF2-40B4-BE49-F238E27FC236}">
              <a16:creationId xmlns:a16="http://schemas.microsoft.com/office/drawing/2014/main" id="{00000000-0008-0000-0700-000018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13" name="Check Box 155" hidden="1">
          <a:extLst>
            <a:ext uri="{63B3BB69-23CF-44E3-9099-C40C66FF867C}">
              <a14:compatExt xmlns:a14="http://schemas.microsoft.com/office/drawing/2010/main" spid="_x0000_s5275"/>
            </a:ext>
            <a:ext uri="{FF2B5EF4-FFF2-40B4-BE49-F238E27FC236}">
              <a16:creationId xmlns:a16="http://schemas.microsoft.com/office/drawing/2014/main" id="{00000000-0008-0000-0700-000019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14" name="Check Box 156" hidden="1">
          <a:extLst>
            <a:ext uri="{63B3BB69-23CF-44E3-9099-C40C66FF867C}">
              <a14:compatExt xmlns:a14="http://schemas.microsoft.com/office/drawing/2010/main" spid="_x0000_s5276"/>
            </a:ext>
            <a:ext uri="{FF2B5EF4-FFF2-40B4-BE49-F238E27FC236}">
              <a16:creationId xmlns:a16="http://schemas.microsoft.com/office/drawing/2014/main" id="{00000000-0008-0000-0700-00001A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715"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700-00001B49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16"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700-00001C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17"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700-00001D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18"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700-00001E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19"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700-00001F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20"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700-000020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721" name="Check Box 157" hidden="1">
          <a:extLst>
            <a:ext uri="{63B3BB69-23CF-44E3-9099-C40C66FF867C}">
              <a14:compatExt xmlns:a14="http://schemas.microsoft.com/office/drawing/2010/main" spid="_x0000_s5277"/>
            </a:ext>
            <a:ext uri="{FF2B5EF4-FFF2-40B4-BE49-F238E27FC236}">
              <a16:creationId xmlns:a16="http://schemas.microsoft.com/office/drawing/2014/main" id="{00000000-0008-0000-0700-00002149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22" name="Check Box 158" hidden="1">
          <a:extLst>
            <a:ext uri="{63B3BB69-23CF-44E3-9099-C40C66FF867C}">
              <a14:compatExt xmlns:a14="http://schemas.microsoft.com/office/drawing/2010/main" spid="_x0000_s5278"/>
            </a:ext>
            <a:ext uri="{FF2B5EF4-FFF2-40B4-BE49-F238E27FC236}">
              <a16:creationId xmlns:a16="http://schemas.microsoft.com/office/drawing/2014/main" id="{00000000-0008-0000-0700-000022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23" name="Check Box 159" hidden="1">
          <a:extLst>
            <a:ext uri="{63B3BB69-23CF-44E3-9099-C40C66FF867C}">
              <a14:compatExt xmlns:a14="http://schemas.microsoft.com/office/drawing/2010/main" spid="_x0000_s5279"/>
            </a:ext>
            <a:ext uri="{FF2B5EF4-FFF2-40B4-BE49-F238E27FC236}">
              <a16:creationId xmlns:a16="http://schemas.microsoft.com/office/drawing/2014/main" id="{00000000-0008-0000-0700-000023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24" name="Check Box 160" hidden="1">
          <a:extLst>
            <a:ext uri="{63B3BB69-23CF-44E3-9099-C40C66FF867C}">
              <a14:compatExt xmlns:a14="http://schemas.microsoft.com/office/drawing/2010/main" spid="_x0000_s5280"/>
            </a:ext>
            <a:ext uri="{FF2B5EF4-FFF2-40B4-BE49-F238E27FC236}">
              <a16:creationId xmlns:a16="http://schemas.microsoft.com/office/drawing/2014/main" id="{00000000-0008-0000-0700-000024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25" name="Check Box 161" hidden="1">
          <a:extLst>
            <a:ext uri="{63B3BB69-23CF-44E3-9099-C40C66FF867C}">
              <a14:compatExt xmlns:a14="http://schemas.microsoft.com/office/drawing/2010/main" spid="_x0000_s5281"/>
            </a:ext>
            <a:ext uri="{FF2B5EF4-FFF2-40B4-BE49-F238E27FC236}">
              <a16:creationId xmlns:a16="http://schemas.microsoft.com/office/drawing/2014/main" id="{00000000-0008-0000-0700-000025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26" name="Check Box 162" hidden="1">
          <a:extLst>
            <a:ext uri="{63B3BB69-23CF-44E3-9099-C40C66FF867C}">
              <a14:compatExt xmlns:a14="http://schemas.microsoft.com/office/drawing/2010/main" spid="_x0000_s5282"/>
            </a:ext>
            <a:ext uri="{FF2B5EF4-FFF2-40B4-BE49-F238E27FC236}">
              <a16:creationId xmlns:a16="http://schemas.microsoft.com/office/drawing/2014/main" id="{00000000-0008-0000-0700-000026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962025</xdr:colOff>
      <xdr:row>26</xdr:row>
      <xdr:rowOff>0</xdr:rowOff>
    </xdr:from>
    <xdr:ext cx="333375" cy="342900"/>
    <xdr:sp macro="" textlink="">
      <xdr:nvSpPr>
        <xdr:cNvPr id="18727" name="Check Box 163" hidden="1">
          <a:extLst>
            <a:ext uri="{63B3BB69-23CF-44E3-9099-C40C66FF867C}">
              <a14:compatExt xmlns:a14="http://schemas.microsoft.com/office/drawing/2010/main" spid="_x0000_s5283"/>
            </a:ext>
            <a:ext uri="{FF2B5EF4-FFF2-40B4-BE49-F238E27FC236}">
              <a16:creationId xmlns:a16="http://schemas.microsoft.com/office/drawing/2014/main" id="{00000000-0008-0000-0700-000027490000}"/>
            </a:ext>
          </a:extLst>
        </xdr:cNvPr>
        <xdr:cNvSpPr/>
      </xdr:nvSpPr>
      <xdr:spPr bwMode="auto">
        <a:xfrm>
          <a:off x="13176885" y="24048720"/>
          <a:ext cx="3333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28" name="Check Box 164" hidden="1">
          <a:extLst>
            <a:ext uri="{63B3BB69-23CF-44E3-9099-C40C66FF867C}">
              <a14:compatExt xmlns:a14="http://schemas.microsoft.com/office/drawing/2010/main" spid="_x0000_s5284"/>
            </a:ext>
            <a:ext uri="{FF2B5EF4-FFF2-40B4-BE49-F238E27FC236}">
              <a16:creationId xmlns:a16="http://schemas.microsoft.com/office/drawing/2014/main" id="{00000000-0008-0000-0700-000028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29" name="Check Box 165" hidden="1">
          <a:extLst>
            <a:ext uri="{63B3BB69-23CF-44E3-9099-C40C66FF867C}">
              <a14:compatExt xmlns:a14="http://schemas.microsoft.com/office/drawing/2010/main" spid="_x0000_s5285"/>
            </a:ext>
            <a:ext uri="{FF2B5EF4-FFF2-40B4-BE49-F238E27FC236}">
              <a16:creationId xmlns:a16="http://schemas.microsoft.com/office/drawing/2014/main" id="{00000000-0008-0000-0700-000029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30" name="Check Box 166" hidden="1">
          <a:extLst>
            <a:ext uri="{63B3BB69-23CF-44E3-9099-C40C66FF867C}">
              <a14:compatExt xmlns:a14="http://schemas.microsoft.com/office/drawing/2010/main" spid="_x0000_s5286"/>
            </a:ext>
            <a:ext uri="{FF2B5EF4-FFF2-40B4-BE49-F238E27FC236}">
              <a16:creationId xmlns:a16="http://schemas.microsoft.com/office/drawing/2014/main" id="{00000000-0008-0000-0700-00002A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31" name="Check Box 167" hidden="1">
          <a:extLst>
            <a:ext uri="{63B3BB69-23CF-44E3-9099-C40C66FF867C}">
              <a14:compatExt xmlns:a14="http://schemas.microsoft.com/office/drawing/2010/main" spid="_x0000_s5287"/>
            </a:ext>
            <a:ext uri="{FF2B5EF4-FFF2-40B4-BE49-F238E27FC236}">
              <a16:creationId xmlns:a16="http://schemas.microsoft.com/office/drawing/2014/main" id="{00000000-0008-0000-0700-00002B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952500</xdr:colOff>
      <xdr:row>26</xdr:row>
      <xdr:rowOff>0</xdr:rowOff>
    </xdr:from>
    <xdr:ext cx="342900" cy="342900"/>
    <xdr:sp macro="" textlink="">
      <xdr:nvSpPr>
        <xdr:cNvPr id="18732" name="Check Box 168" hidden="1">
          <a:extLst>
            <a:ext uri="{63B3BB69-23CF-44E3-9099-C40C66FF867C}">
              <a14:compatExt xmlns:a14="http://schemas.microsoft.com/office/drawing/2010/main" spid="_x0000_s5288"/>
            </a:ext>
            <a:ext uri="{FF2B5EF4-FFF2-40B4-BE49-F238E27FC236}">
              <a16:creationId xmlns:a16="http://schemas.microsoft.com/office/drawing/2014/main" id="{00000000-0008-0000-0700-00002C490000}"/>
            </a:ext>
          </a:extLst>
        </xdr:cNvPr>
        <xdr:cNvSpPr/>
      </xdr:nvSpPr>
      <xdr:spPr bwMode="auto">
        <a:xfrm>
          <a:off x="131673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33"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2D490000}"/>
            </a:ext>
          </a:extLst>
        </xdr:cNvPr>
        <xdr:cNvSpPr/>
      </xdr:nvSpPr>
      <xdr:spPr bwMode="auto">
        <a:xfrm>
          <a:off x="13205460" y="1742694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34"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2E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35"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2F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36"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30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37"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31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38"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32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39"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33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40"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34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41"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35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6</xdr:col>
      <xdr:colOff>990600</xdr:colOff>
      <xdr:row>26</xdr:row>
      <xdr:rowOff>0</xdr:rowOff>
    </xdr:from>
    <xdr:ext cx="342900" cy="342900"/>
    <xdr:sp macro="" textlink="">
      <xdr:nvSpPr>
        <xdr:cNvPr id="18742" name="Check Box 144" hidden="1">
          <a:extLst>
            <a:ext uri="{63B3BB69-23CF-44E3-9099-C40C66FF867C}">
              <a14:compatExt xmlns:a14="http://schemas.microsoft.com/office/drawing/2010/main" spid="_x0000_s5264"/>
            </a:ext>
            <a:ext uri="{FF2B5EF4-FFF2-40B4-BE49-F238E27FC236}">
              <a16:creationId xmlns:a16="http://schemas.microsoft.com/office/drawing/2014/main" id="{00000000-0008-0000-0700-000036490000}"/>
            </a:ext>
          </a:extLst>
        </xdr:cNvPr>
        <xdr:cNvSpPr/>
      </xdr:nvSpPr>
      <xdr:spPr bwMode="auto">
        <a:xfrm>
          <a:off x="13205460" y="24048720"/>
          <a:ext cx="3429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123825</xdr:colOff>
      <xdr:row>0</xdr:row>
      <xdr:rowOff>85726</xdr:rowOff>
    </xdr:from>
    <xdr:ext cx="0" cy="753532"/>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53532"/>
        </a:xfrm>
        <a:prstGeom prst="rect">
          <a:avLst/>
        </a:prstGeom>
      </xdr:spPr>
    </xdr:pic>
    <xdr:clientData/>
  </xdr:oneCellAnchor>
  <xdr:oneCellAnchor>
    <xdr:from>
      <xdr:col>0</xdr:col>
      <xdr:colOff>104775</xdr:colOff>
      <xdr:row>0</xdr:row>
      <xdr:rowOff>38100</xdr:rowOff>
    </xdr:from>
    <xdr:ext cx="0" cy="666749"/>
    <xdr:pic>
      <xdr:nvPicPr>
        <xdr:cNvPr id="3" name="Imagen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4775" y="38100"/>
          <a:ext cx="0" cy="666749"/>
        </a:xfrm>
        <a:prstGeom prst="rect">
          <a:avLst/>
        </a:prstGeom>
      </xdr:spPr>
    </xdr:pic>
    <xdr:clientData/>
  </xdr:oneCellAnchor>
  <xdr:twoCellAnchor editAs="oneCell">
    <xdr:from>
      <xdr:col>0</xdr:col>
      <xdr:colOff>123825</xdr:colOff>
      <xdr:row>0</xdr:row>
      <xdr:rowOff>161925</xdr:rowOff>
    </xdr:from>
    <xdr:to>
      <xdr:col>2</xdr:col>
      <xdr:colOff>865414</xdr:colOff>
      <xdr:row>3</xdr:row>
      <xdr:rowOff>28575</xdr:rowOff>
    </xdr:to>
    <xdr:pic>
      <xdr:nvPicPr>
        <xdr:cNvPr id="4" name="Imagen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825" y="161925"/>
          <a:ext cx="2021749" cy="39243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123825</xdr:colOff>
      <xdr:row>0</xdr:row>
      <xdr:rowOff>85726</xdr:rowOff>
    </xdr:from>
    <xdr:ext cx="0" cy="753532"/>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3825" y="85726"/>
          <a:ext cx="0" cy="753532"/>
        </a:xfrm>
        <a:prstGeom prst="rect">
          <a:avLst/>
        </a:prstGeom>
      </xdr:spPr>
    </xdr:pic>
    <xdr:clientData/>
  </xdr:oneCellAnchor>
  <xdr:oneCellAnchor>
    <xdr:from>
      <xdr:col>0</xdr:col>
      <xdr:colOff>157327</xdr:colOff>
      <xdr:row>0</xdr:row>
      <xdr:rowOff>38100</xdr:rowOff>
    </xdr:from>
    <xdr:ext cx="0" cy="666749"/>
    <xdr:pic>
      <xdr:nvPicPr>
        <xdr:cNvPr id="3" name="Imagen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57327" y="38100"/>
          <a:ext cx="0" cy="666749"/>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xdr:from>
      <xdr:col>3</xdr:col>
      <xdr:colOff>51995</xdr:colOff>
      <xdr:row>36</xdr:row>
      <xdr:rowOff>143436</xdr:rowOff>
    </xdr:from>
    <xdr:to>
      <xdr:col>3</xdr:col>
      <xdr:colOff>3810001</xdr:colOff>
      <xdr:row>42</xdr:row>
      <xdr:rowOff>592319</xdr:rowOff>
    </xdr:to>
    <xdr:graphicFrame macro="">
      <xdr:nvGraphicFramePr>
        <xdr:cNvPr id="16" name="Gráfico 15">
          <a:extLst>
            <a:ext uri="{FF2B5EF4-FFF2-40B4-BE49-F238E27FC236}">
              <a16:creationId xmlns:a16="http://schemas.microsoft.com/office/drawing/2014/main" id="{00000000-0008-0000-0A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663387</xdr:colOff>
      <xdr:row>36</xdr:row>
      <xdr:rowOff>161368</xdr:rowOff>
    </xdr:from>
    <xdr:to>
      <xdr:col>2</xdr:col>
      <xdr:colOff>4232237</xdr:colOff>
      <xdr:row>42</xdr:row>
      <xdr:rowOff>601070</xdr:rowOff>
    </xdr:to>
    <xdr:graphicFrame macro="">
      <xdr:nvGraphicFramePr>
        <xdr:cNvPr id="8" name="Gráfico 7">
          <a:extLst>
            <a:ext uri="{FF2B5EF4-FFF2-40B4-BE49-F238E27FC236}">
              <a16:creationId xmlns:a16="http://schemas.microsoft.com/office/drawing/2014/main" id="{00000000-0008-0000-0A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123825</xdr:colOff>
      <xdr:row>0</xdr:row>
      <xdr:rowOff>85726</xdr:rowOff>
    </xdr:from>
    <xdr:ext cx="0" cy="753532"/>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23825" y="85726"/>
          <a:ext cx="0" cy="753532"/>
        </a:xfrm>
        <a:prstGeom prst="rect">
          <a:avLst/>
        </a:prstGeom>
      </xdr:spPr>
    </xdr:pic>
    <xdr:clientData/>
  </xdr:oneCellAnchor>
  <xdr:oneCellAnchor>
    <xdr:from>
      <xdr:col>0</xdr:col>
      <xdr:colOff>104775</xdr:colOff>
      <xdr:row>0</xdr:row>
      <xdr:rowOff>38100</xdr:rowOff>
    </xdr:from>
    <xdr:ext cx="0" cy="666749"/>
    <xdr:pic>
      <xdr:nvPicPr>
        <xdr:cNvPr id="3" name="Imagen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04775" y="38100"/>
          <a:ext cx="0" cy="666749"/>
        </a:xfrm>
        <a:prstGeom prst="rect">
          <a:avLst/>
        </a:prstGeom>
      </xdr:spPr>
    </xdr:pic>
    <xdr:clientData/>
  </xdr:oneCellAnchor>
  <xdr:oneCellAnchor>
    <xdr:from>
      <xdr:col>0</xdr:col>
      <xdr:colOff>123825</xdr:colOff>
      <xdr:row>0</xdr:row>
      <xdr:rowOff>85726</xdr:rowOff>
    </xdr:from>
    <xdr:ext cx="0" cy="734482"/>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23825" y="85726"/>
          <a:ext cx="0" cy="734482"/>
        </a:xfrm>
        <a:prstGeom prst="rect">
          <a:avLst/>
        </a:prstGeom>
      </xdr:spPr>
    </xdr:pic>
    <xdr:clientData/>
  </xdr:oneCellAnchor>
  <xdr:twoCellAnchor>
    <xdr:from>
      <xdr:col>0</xdr:col>
      <xdr:colOff>0</xdr:colOff>
      <xdr:row>36</xdr:row>
      <xdr:rowOff>161366</xdr:rowOff>
    </xdr:from>
    <xdr:to>
      <xdr:col>2</xdr:col>
      <xdr:colOff>568435</xdr:colOff>
      <xdr:row>42</xdr:row>
      <xdr:rowOff>610249</xdr:rowOff>
    </xdr:to>
    <xdr:graphicFrame macro="">
      <xdr:nvGraphicFramePr>
        <xdr:cNvPr id="6" name="Gráfico 5">
          <a:extLst>
            <a:ext uri="{FF2B5EF4-FFF2-40B4-BE49-F238E27FC236}">
              <a16:creationId xmlns:a16="http://schemas.microsoft.com/office/drawing/2014/main" id="{00000000-0008-0000-0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36</xdr:row>
      <xdr:rowOff>152399</xdr:rowOff>
    </xdr:from>
    <xdr:to>
      <xdr:col>2</xdr:col>
      <xdr:colOff>568341</xdr:colOff>
      <xdr:row>36</xdr:row>
      <xdr:rowOff>525420</xdr:rowOff>
    </xdr:to>
    <xdr:sp macro="" textlink="">
      <xdr:nvSpPr>
        <xdr:cNvPr id="12" name="Rectángulo 11">
          <a:extLst>
            <a:ext uri="{FF2B5EF4-FFF2-40B4-BE49-F238E27FC236}">
              <a16:creationId xmlns:a16="http://schemas.microsoft.com/office/drawing/2014/main" id="{00000000-0008-0000-0A00-00000C000000}"/>
            </a:ext>
          </a:extLst>
        </xdr:cNvPr>
        <xdr:cNvSpPr/>
      </xdr:nvSpPr>
      <xdr:spPr>
        <a:xfrm>
          <a:off x="0" y="12747811"/>
          <a:ext cx="3903212" cy="373021"/>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latin typeface="Arial" panose="020B0604020202020204" pitchFamily="34" charset="0"/>
              <a:cs typeface="Arial" panose="020B0604020202020204" pitchFamily="34" charset="0"/>
            </a:rPr>
            <a:t>CONTEXTO</a:t>
          </a:r>
          <a:r>
            <a:rPr lang="es-CO" sz="1200" b="1" baseline="0">
              <a:latin typeface="Arial" panose="020B0604020202020204" pitchFamily="34" charset="0"/>
              <a:cs typeface="Arial" panose="020B0604020202020204" pitchFamily="34" charset="0"/>
            </a:rPr>
            <a:t> DE LA ORGANIZACIÓN</a:t>
          </a:r>
          <a:endParaRPr lang="es-CO" sz="1200" b="1">
            <a:latin typeface="Arial" panose="020B0604020202020204" pitchFamily="34" charset="0"/>
            <a:cs typeface="Arial" panose="020B0604020202020204" pitchFamily="34" charset="0"/>
          </a:endParaRPr>
        </a:p>
      </xdr:txBody>
    </xdr:sp>
    <xdr:clientData/>
  </xdr:twoCellAnchor>
  <xdr:twoCellAnchor>
    <xdr:from>
      <xdr:col>2</xdr:col>
      <xdr:colOff>654422</xdr:colOff>
      <xdr:row>36</xdr:row>
      <xdr:rowOff>143437</xdr:rowOff>
    </xdr:from>
    <xdr:to>
      <xdr:col>2</xdr:col>
      <xdr:colOff>4230892</xdr:colOff>
      <xdr:row>36</xdr:row>
      <xdr:rowOff>547399</xdr:rowOff>
    </xdr:to>
    <xdr:sp macro="" textlink="">
      <xdr:nvSpPr>
        <xdr:cNvPr id="13" name="Rectángulo 12">
          <a:extLst>
            <a:ext uri="{FF2B5EF4-FFF2-40B4-BE49-F238E27FC236}">
              <a16:creationId xmlns:a16="http://schemas.microsoft.com/office/drawing/2014/main" id="{00000000-0008-0000-0A00-00000D000000}"/>
            </a:ext>
          </a:extLst>
        </xdr:cNvPr>
        <xdr:cNvSpPr/>
      </xdr:nvSpPr>
      <xdr:spPr>
        <a:xfrm>
          <a:off x="3657598" y="12738849"/>
          <a:ext cx="3576470" cy="403962"/>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latin typeface="Arial" panose="020B0604020202020204" pitchFamily="34" charset="0"/>
              <a:cs typeface="Arial" panose="020B0604020202020204" pitchFamily="34" charset="0"/>
            </a:rPr>
            <a:t>LIDERAZGO</a:t>
          </a:r>
        </a:p>
      </xdr:txBody>
    </xdr:sp>
    <xdr:clientData/>
  </xdr:twoCellAnchor>
  <xdr:twoCellAnchor>
    <xdr:from>
      <xdr:col>3</xdr:col>
      <xdr:colOff>51994</xdr:colOff>
      <xdr:row>36</xdr:row>
      <xdr:rowOff>152400</xdr:rowOff>
    </xdr:from>
    <xdr:to>
      <xdr:col>3</xdr:col>
      <xdr:colOff>3810000</xdr:colOff>
      <xdr:row>36</xdr:row>
      <xdr:rowOff>556362</xdr:rowOff>
    </xdr:to>
    <xdr:sp macro="" textlink="">
      <xdr:nvSpPr>
        <xdr:cNvPr id="7" name="Rectángulo 6">
          <a:extLst>
            <a:ext uri="{FF2B5EF4-FFF2-40B4-BE49-F238E27FC236}">
              <a16:creationId xmlns:a16="http://schemas.microsoft.com/office/drawing/2014/main" id="{00000000-0008-0000-0A00-000007000000}"/>
            </a:ext>
          </a:extLst>
        </xdr:cNvPr>
        <xdr:cNvSpPr/>
      </xdr:nvSpPr>
      <xdr:spPr>
        <a:xfrm>
          <a:off x="7340300" y="12747812"/>
          <a:ext cx="3758006" cy="403962"/>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latin typeface="Arial" panose="020B0604020202020204" pitchFamily="34" charset="0"/>
              <a:cs typeface="Arial" panose="020B0604020202020204" pitchFamily="34" charset="0"/>
            </a:rPr>
            <a:t>PLANIFICACIÓN</a:t>
          </a:r>
        </a:p>
      </xdr:txBody>
    </xdr:sp>
    <xdr:clientData/>
  </xdr:twoCellAnchor>
  <xdr:twoCellAnchor>
    <xdr:from>
      <xdr:col>2</xdr:col>
      <xdr:colOff>2483223</xdr:colOff>
      <xdr:row>43</xdr:row>
      <xdr:rowOff>143435</xdr:rowOff>
    </xdr:from>
    <xdr:to>
      <xdr:col>3</xdr:col>
      <xdr:colOff>2232211</xdr:colOff>
      <xdr:row>49</xdr:row>
      <xdr:rowOff>565059</xdr:rowOff>
    </xdr:to>
    <xdr:graphicFrame macro="">
      <xdr:nvGraphicFramePr>
        <xdr:cNvPr id="9" name="Gráfico 8">
          <a:extLst>
            <a:ext uri="{FF2B5EF4-FFF2-40B4-BE49-F238E27FC236}">
              <a16:creationId xmlns:a16="http://schemas.microsoft.com/office/drawing/2014/main" id="{00000000-0008-0000-0A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430306</xdr:colOff>
      <xdr:row>43</xdr:row>
      <xdr:rowOff>161365</xdr:rowOff>
    </xdr:from>
    <xdr:to>
      <xdr:col>2</xdr:col>
      <xdr:colOff>2106704</xdr:colOff>
      <xdr:row>49</xdr:row>
      <xdr:rowOff>582989</xdr:rowOff>
    </xdr:to>
    <xdr:graphicFrame macro="">
      <xdr:nvGraphicFramePr>
        <xdr:cNvPr id="10" name="Gráfico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3890682</xdr:colOff>
      <xdr:row>36</xdr:row>
      <xdr:rowOff>161367</xdr:rowOff>
    </xdr:from>
    <xdr:to>
      <xdr:col>5</xdr:col>
      <xdr:colOff>1470212</xdr:colOff>
      <xdr:row>42</xdr:row>
      <xdr:rowOff>582707</xdr:rowOff>
    </xdr:to>
    <xdr:graphicFrame macro="">
      <xdr:nvGraphicFramePr>
        <xdr:cNvPr id="11" name="Gráfico 10">
          <a:extLst>
            <a:ext uri="{FF2B5EF4-FFF2-40B4-BE49-F238E27FC236}">
              <a16:creationId xmlns:a16="http://schemas.microsoft.com/office/drawing/2014/main" id="{00000000-0008-0000-0A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3880925</xdr:colOff>
      <xdr:row>36</xdr:row>
      <xdr:rowOff>152402</xdr:rowOff>
    </xdr:from>
    <xdr:to>
      <xdr:col>6</xdr:col>
      <xdr:colOff>5533</xdr:colOff>
      <xdr:row>36</xdr:row>
      <xdr:rowOff>556364</xdr:rowOff>
    </xdr:to>
    <xdr:sp macro="" textlink="">
      <xdr:nvSpPr>
        <xdr:cNvPr id="14" name="Rectángulo 13">
          <a:extLst>
            <a:ext uri="{FF2B5EF4-FFF2-40B4-BE49-F238E27FC236}">
              <a16:creationId xmlns:a16="http://schemas.microsoft.com/office/drawing/2014/main" id="{00000000-0008-0000-0A00-00000E000000}"/>
            </a:ext>
          </a:extLst>
        </xdr:cNvPr>
        <xdr:cNvSpPr/>
      </xdr:nvSpPr>
      <xdr:spPr>
        <a:xfrm>
          <a:off x="11967090" y="12747814"/>
          <a:ext cx="3870114" cy="403962"/>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latin typeface="Arial" panose="020B0604020202020204" pitchFamily="34" charset="0"/>
              <a:cs typeface="Arial" panose="020B0604020202020204" pitchFamily="34" charset="0"/>
            </a:rPr>
            <a:t>SOPORTE</a:t>
          </a:r>
        </a:p>
      </xdr:txBody>
    </xdr:sp>
    <xdr:clientData/>
  </xdr:twoCellAnchor>
  <xdr:twoCellAnchor>
    <xdr:from>
      <xdr:col>1</xdr:col>
      <xdr:colOff>421341</xdr:colOff>
      <xdr:row>43</xdr:row>
      <xdr:rowOff>143435</xdr:rowOff>
    </xdr:from>
    <xdr:to>
      <xdr:col>2</xdr:col>
      <xdr:colOff>2106705</xdr:colOff>
      <xdr:row>43</xdr:row>
      <xdr:rowOff>537882</xdr:rowOff>
    </xdr:to>
    <xdr:sp macro="" textlink="">
      <xdr:nvSpPr>
        <xdr:cNvPr id="15" name="Rectángulo 14">
          <a:extLst>
            <a:ext uri="{FF2B5EF4-FFF2-40B4-BE49-F238E27FC236}">
              <a16:creationId xmlns:a16="http://schemas.microsoft.com/office/drawing/2014/main" id="{00000000-0008-0000-0A00-00000F000000}"/>
            </a:ext>
          </a:extLst>
        </xdr:cNvPr>
        <xdr:cNvSpPr/>
      </xdr:nvSpPr>
      <xdr:spPr>
        <a:xfrm>
          <a:off x="1084729" y="17131553"/>
          <a:ext cx="4356847" cy="394447"/>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latin typeface="Arial" panose="020B0604020202020204" pitchFamily="34" charset="0"/>
              <a:cs typeface="Arial" panose="020B0604020202020204" pitchFamily="34" charset="0"/>
            </a:rPr>
            <a:t>OPERACIÓN</a:t>
          </a:r>
        </a:p>
      </xdr:txBody>
    </xdr:sp>
    <xdr:clientData/>
  </xdr:twoCellAnchor>
  <xdr:twoCellAnchor>
    <xdr:from>
      <xdr:col>2</xdr:col>
      <xdr:colOff>2483222</xdr:colOff>
      <xdr:row>43</xdr:row>
      <xdr:rowOff>152399</xdr:rowOff>
    </xdr:from>
    <xdr:to>
      <xdr:col>3</xdr:col>
      <xdr:colOff>2241176</xdr:colOff>
      <xdr:row>43</xdr:row>
      <xdr:rowOff>546846</xdr:rowOff>
    </xdr:to>
    <xdr:sp macro="" textlink="">
      <xdr:nvSpPr>
        <xdr:cNvPr id="17" name="Rectángulo 16">
          <a:extLst>
            <a:ext uri="{FF2B5EF4-FFF2-40B4-BE49-F238E27FC236}">
              <a16:creationId xmlns:a16="http://schemas.microsoft.com/office/drawing/2014/main" id="{00000000-0008-0000-0A00-000011000000}"/>
            </a:ext>
          </a:extLst>
        </xdr:cNvPr>
        <xdr:cNvSpPr/>
      </xdr:nvSpPr>
      <xdr:spPr>
        <a:xfrm>
          <a:off x="5818093" y="17140517"/>
          <a:ext cx="4509248" cy="394447"/>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latin typeface="Arial" panose="020B0604020202020204" pitchFamily="34" charset="0"/>
              <a:cs typeface="Arial" panose="020B0604020202020204" pitchFamily="34" charset="0"/>
            </a:rPr>
            <a:t>EVALUACIÓN DEL DESEMPEÑO</a:t>
          </a:r>
        </a:p>
      </xdr:txBody>
    </xdr:sp>
    <xdr:clientData/>
  </xdr:twoCellAnchor>
  <xdr:twoCellAnchor>
    <xdr:from>
      <xdr:col>3</xdr:col>
      <xdr:colOff>2384613</xdr:colOff>
      <xdr:row>43</xdr:row>
      <xdr:rowOff>161364</xdr:rowOff>
    </xdr:from>
    <xdr:to>
      <xdr:col>5</xdr:col>
      <xdr:colOff>636495</xdr:colOff>
      <xdr:row>49</xdr:row>
      <xdr:rowOff>582988</xdr:rowOff>
    </xdr:to>
    <xdr:graphicFrame macro="">
      <xdr:nvGraphicFramePr>
        <xdr:cNvPr id="18" name="Gráfico 17">
          <a:extLst>
            <a:ext uri="{FF2B5EF4-FFF2-40B4-BE49-F238E27FC236}">
              <a16:creationId xmlns:a16="http://schemas.microsoft.com/office/drawing/2014/main" id="{00000000-0008-0000-0A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2384612</xdr:colOff>
      <xdr:row>43</xdr:row>
      <xdr:rowOff>143434</xdr:rowOff>
    </xdr:from>
    <xdr:to>
      <xdr:col>5</xdr:col>
      <xdr:colOff>645460</xdr:colOff>
      <xdr:row>43</xdr:row>
      <xdr:rowOff>537881</xdr:rowOff>
    </xdr:to>
    <xdr:sp macro="" textlink="">
      <xdr:nvSpPr>
        <xdr:cNvPr id="19" name="Rectángulo 18">
          <a:extLst>
            <a:ext uri="{FF2B5EF4-FFF2-40B4-BE49-F238E27FC236}">
              <a16:creationId xmlns:a16="http://schemas.microsoft.com/office/drawing/2014/main" id="{00000000-0008-0000-0A00-000013000000}"/>
            </a:ext>
          </a:extLst>
        </xdr:cNvPr>
        <xdr:cNvSpPr/>
      </xdr:nvSpPr>
      <xdr:spPr>
        <a:xfrm>
          <a:off x="10470777" y="17131552"/>
          <a:ext cx="4509248" cy="394447"/>
        </a:xfrm>
        <a:prstGeom prst="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latin typeface="Arial" panose="020B0604020202020204" pitchFamily="34" charset="0"/>
              <a:cs typeface="Arial" panose="020B0604020202020204" pitchFamily="34" charset="0"/>
            </a:rPr>
            <a:t>MEJORA</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auditool.org" TargetMode="Externa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2.xml"/><Relationship Id="rId16" Type="http://schemas.openxmlformats.org/officeDocument/2006/relationships/ctrlProp" Target="../ctrlProps/ctrlProp13.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21.xml"/><Relationship Id="rId13"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0.xml"/><Relationship Id="rId12" Type="http://schemas.openxmlformats.org/officeDocument/2006/relationships/ctrlProp" Target="../ctrlProps/ctrlProp25.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9.xml"/><Relationship Id="rId11" Type="http://schemas.openxmlformats.org/officeDocument/2006/relationships/ctrlProp" Target="../ctrlProps/ctrlProp24.xml"/><Relationship Id="rId5" Type="http://schemas.openxmlformats.org/officeDocument/2006/relationships/ctrlProp" Target="../ctrlProps/ctrlProp18.xml"/><Relationship Id="rId15" Type="http://schemas.openxmlformats.org/officeDocument/2006/relationships/ctrlProp" Target="../ctrlProps/ctrlProp28.xml"/><Relationship Id="rId10" Type="http://schemas.openxmlformats.org/officeDocument/2006/relationships/ctrlProp" Target="../ctrlProps/ctrlProp23.xml"/><Relationship Id="rId4" Type="http://schemas.openxmlformats.org/officeDocument/2006/relationships/ctrlProp" Target="../ctrlProps/ctrlProp17.xml"/><Relationship Id="rId9" Type="http://schemas.openxmlformats.org/officeDocument/2006/relationships/ctrlProp" Target="../ctrlProps/ctrlProp22.xml"/><Relationship Id="rId14" Type="http://schemas.openxmlformats.org/officeDocument/2006/relationships/ctrlProp" Target="../ctrlProps/ctrlProp27.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33.xml"/><Relationship Id="rId3" Type="http://schemas.openxmlformats.org/officeDocument/2006/relationships/vmlDrawing" Target="../drawings/vmlDrawing3.vml"/><Relationship Id="rId7" Type="http://schemas.openxmlformats.org/officeDocument/2006/relationships/ctrlProp" Target="../ctrlProps/ctrlProp32.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31.xml"/><Relationship Id="rId11" Type="http://schemas.openxmlformats.org/officeDocument/2006/relationships/ctrlProp" Target="../ctrlProps/ctrlProp36.xml"/><Relationship Id="rId5" Type="http://schemas.openxmlformats.org/officeDocument/2006/relationships/ctrlProp" Target="../ctrlProps/ctrlProp30.xml"/><Relationship Id="rId10" Type="http://schemas.openxmlformats.org/officeDocument/2006/relationships/ctrlProp" Target="../ctrlProps/ctrlProp35.xml"/><Relationship Id="rId4" Type="http://schemas.openxmlformats.org/officeDocument/2006/relationships/ctrlProp" Target="../ctrlProps/ctrlProp29.xml"/><Relationship Id="rId9" Type="http://schemas.openxmlformats.org/officeDocument/2006/relationships/ctrlProp" Target="../ctrlProps/ctrlProp34.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41.xml"/><Relationship Id="rId13" Type="http://schemas.openxmlformats.org/officeDocument/2006/relationships/ctrlProp" Target="../ctrlProps/ctrlProp46.xml"/><Relationship Id="rId18" Type="http://schemas.openxmlformats.org/officeDocument/2006/relationships/ctrlProp" Target="../ctrlProps/ctrlProp51.xml"/><Relationship Id="rId3" Type="http://schemas.openxmlformats.org/officeDocument/2006/relationships/vmlDrawing" Target="../drawings/vmlDrawing4.vml"/><Relationship Id="rId21" Type="http://schemas.openxmlformats.org/officeDocument/2006/relationships/ctrlProp" Target="../ctrlProps/ctrlProp54.xml"/><Relationship Id="rId7" Type="http://schemas.openxmlformats.org/officeDocument/2006/relationships/ctrlProp" Target="../ctrlProps/ctrlProp40.xml"/><Relationship Id="rId12" Type="http://schemas.openxmlformats.org/officeDocument/2006/relationships/ctrlProp" Target="../ctrlProps/ctrlProp45.xml"/><Relationship Id="rId17" Type="http://schemas.openxmlformats.org/officeDocument/2006/relationships/ctrlProp" Target="../ctrlProps/ctrlProp50.xml"/><Relationship Id="rId2" Type="http://schemas.openxmlformats.org/officeDocument/2006/relationships/drawing" Target="../drawings/drawing5.xml"/><Relationship Id="rId16" Type="http://schemas.openxmlformats.org/officeDocument/2006/relationships/ctrlProp" Target="../ctrlProps/ctrlProp49.xml"/><Relationship Id="rId20" Type="http://schemas.openxmlformats.org/officeDocument/2006/relationships/ctrlProp" Target="../ctrlProps/ctrlProp53.xml"/><Relationship Id="rId1" Type="http://schemas.openxmlformats.org/officeDocument/2006/relationships/printerSettings" Target="../printerSettings/printerSettings5.bin"/><Relationship Id="rId6" Type="http://schemas.openxmlformats.org/officeDocument/2006/relationships/ctrlProp" Target="../ctrlProps/ctrlProp39.xml"/><Relationship Id="rId11" Type="http://schemas.openxmlformats.org/officeDocument/2006/relationships/ctrlProp" Target="../ctrlProps/ctrlProp44.xml"/><Relationship Id="rId5" Type="http://schemas.openxmlformats.org/officeDocument/2006/relationships/ctrlProp" Target="../ctrlProps/ctrlProp38.xml"/><Relationship Id="rId15" Type="http://schemas.openxmlformats.org/officeDocument/2006/relationships/ctrlProp" Target="../ctrlProps/ctrlProp48.xml"/><Relationship Id="rId23" Type="http://schemas.openxmlformats.org/officeDocument/2006/relationships/ctrlProp" Target="../ctrlProps/ctrlProp56.xml"/><Relationship Id="rId10" Type="http://schemas.openxmlformats.org/officeDocument/2006/relationships/ctrlProp" Target="../ctrlProps/ctrlProp43.xml"/><Relationship Id="rId19" Type="http://schemas.openxmlformats.org/officeDocument/2006/relationships/ctrlProp" Target="../ctrlProps/ctrlProp52.xml"/><Relationship Id="rId4" Type="http://schemas.openxmlformats.org/officeDocument/2006/relationships/ctrlProp" Target="../ctrlProps/ctrlProp37.xml"/><Relationship Id="rId9" Type="http://schemas.openxmlformats.org/officeDocument/2006/relationships/ctrlProp" Target="../ctrlProps/ctrlProp42.xml"/><Relationship Id="rId14" Type="http://schemas.openxmlformats.org/officeDocument/2006/relationships/ctrlProp" Target="../ctrlProps/ctrlProp47.xml"/><Relationship Id="rId22" Type="http://schemas.openxmlformats.org/officeDocument/2006/relationships/ctrlProp" Target="../ctrlProps/ctrlProp55.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61.xml"/><Relationship Id="rId13" Type="http://schemas.openxmlformats.org/officeDocument/2006/relationships/ctrlProp" Target="../ctrlProps/ctrlProp66.xml"/><Relationship Id="rId3" Type="http://schemas.openxmlformats.org/officeDocument/2006/relationships/vmlDrawing" Target="../drawings/vmlDrawing5.vml"/><Relationship Id="rId7" Type="http://schemas.openxmlformats.org/officeDocument/2006/relationships/ctrlProp" Target="../ctrlProps/ctrlProp60.xml"/><Relationship Id="rId12" Type="http://schemas.openxmlformats.org/officeDocument/2006/relationships/ctrlProp" Target="../ctrlProps/ctrlProp65.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59.xml"/><Relationship Id="rId11" Type="http://schemas.openxmlformats.org/officeDocument/2006/relationships/ctrlProp" Target="../ctrlProps/ctrlProp64.xml"/><Relationship Id="rId5" Type="http://schemas.openxmlformats.org/officeDocument/2006/relationships/ctrlProp" Target="../ctrlProps/ctrlProp58.xml"/><Relationship Id="rId15" Type="http://schemas.openxmlformats.org/officeDocument/2006/relationships/ctrlProp" Target="../ctrlProps/ctrlProp68.xml"/><Relationship Id="rId10" Type="http://schemas.openxmlformats.org/officeDocument/2006/relationships/ctrlProp" Target="../ctrlProps/ctrlProp63.xml"/><Relationship Id="rId4" Type="http://schemas.openxmlformats.org/officeDocument/2006/relationships/ctrlProp" Target="../ctrlProps/ctrlProp57.xml"/><Relationship Id="rId9" Type="http://schemas.openxmlformats.org/officeDocument/2006/relationships/ctrlProp" Target="../ctrlProps/ctrlProp62.xml"/><Relationship Id="rId14" Type="http://schemas.openxmlformats.org/officeDocument/2006/relationships/ctrlProp" Target="../ctrlProps/ctrlProp67.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73.xml"/><Relationship Id="rId13" Type="http://schemas.openxmlformats.org/officeDocument/2006/relationships/ctrlProp" Target="../ctrlProps/ctrlProp78.xml"/><Relationship Id="rId3" Type="http://schemas.openxmlformats.org/officeDocument/2006/relationships/vmlDrawing" Target="../drawings/vmlDrawing6.vml"/><Relationship Id="rId7" Type="http://schemas.openxmlformats.org/officeDocument/2006/relationships/ctrlProp" Target="../ctrlProps/ctrlProp72.xml"/><Relationship Id="rId12" Type="http://schemas.openxmlformats.org/officeDocument/2006/relationships/ctrlProp" Target="../ctrlProps/ctrlProp77.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ctrlProp" Target="../ctrlProps/ctrlProp71.xml"/><Relationship Id="rId11" Type="http://schemas.openxmlformats.org/officeDocument/2006/relationships/ctrlProp" Target="../ctrlProps/ctrlProp76.xml"/><Relationship Id="rId5" Type="http://schemas.openxmlformats.org/officeDocument/2006/relationships/ctrlProp" Target="../ctrlProps/ctrlProp70.xml"/><Relationship Id="rId15" Type="http://schemas.openxmlformats.org/officeDocument/2006/relationships/ctrlProp" Target="../ctrlProps/ctrlProp80.xml"/><Relationship Id="rId10" Type="http://schemas.openxmlformats.org/officeDocument/2006/relationships/ctrlProp" Target="../ctrlProps/ctrlProp75.xml"/><Relationship Id="rId4" Type="http://schemas.openxmlformats.org/officeDocument/2006/relationships/ctrlProp" Target="../ctrlProps/ctrlProp69.xml"/><Relationship Id="rId9" Type="http://schemas.openxmlformats.org/officeDocument/2006/relationships/ctrlProp" Target="../ctrlProps/ctrlProp74.xml"/><Relationship Id="rId14" Type="http://schemas.openxmlformats.org/officeDocument/2006/relationships/ctrlProp" Target="../ctrlProps/ctrlProp79.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85.xml"/><Relationship Id="rId3" Type="http://schemas.openxmlformats.org/officeDocument/2006/relationships/vmlDrawing" Target="../drawings/vmlDrawing7.vml"/><Relationship Id="rId7" Type="http://schemas.openxmlformats.org/officeDocument/2006/relationships/ctrlProp" Target="../ctrlProps/ctrlProp84.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ctrlProp" Target="../ctrlProps/ctrlProp83.xml"/><Relationship Id="rId11" Type="http://schemas.openxmlformats.org/officeDocument/2006/relationships/ctrlProp" Target="../ctrlProps/ctrlProp88.xml"/><Relationship Id="rId5" Type="http://schemas.openxmlformats.org/officeDocument/2006/relationships/ctrlProp" Target="../ctrlProps/ctrlProp82.xml"/><Relationship Id="rId10" Type="http://schemas.openxmlformats.org/officeDocument/2006/relationships/ctrlProp" Target="../ctrlProps/ctrlProp87.xml"/><Relationship Id="rId4" Type="http://schemas.openxmlformats.org/officeDocument/2006/relationships/ctrlProp" Target="../ctrlProps/ctrlProp81.xml"/><Relationship Id="rId9" Type="http://schemas.openxmlformats.org/officeDocument/2006/relationships/ctrlProp" Target="../ctrlProps/ctrlProp8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62B47"/>
  </sheetPr>
  <dimension ref="A1:AA103"/>
  <sheetViews>
    <sheetView showGridLines="0" topLeftCell="A16" workbookViewId="0">
      <selection activeCell="C21" sqref="C21:J21"/>
    </sheetView>
  </sheetViews>
  <sheetFormatPr baseColWidth="10" defaultColWidth="0" defaultRowHeight="14.1" customHeight="1" zeroHeight="1"/>
  <cols>
    <col min="1" max="3" width="14.625" style="24" customWidth="1"/>
    <col min="4" max="5" width="12.125" style="24" customWidth="1"/>
    <col min="6" max="6" width="16.125" style="24" customWidth="1"/>
    <col min="7" max="7" width="14" style="24" customWidth="1"/>
    <col min="8" max="12" width="12.125" style="24" customWidth="1"/>
    <col min="13" max="13" width="5.375" style="24" customWidth="1"/>
    <col min="14" max="14" width="11.375" style="7" customWidth="1"/>
    <col min="15" max="26" width="11.375" style="7" hidden="1" customWidth="1"/>
    <col min="27" max="27" width="11.375" style="12" hidden="1" customWidth="1"/>
    <col min="28" max="16384" width="11.375" style="7" hidden="1"/>
  </cols>
  <sheetData>
    <row r="1" spans="1:27" ht="14.25">
      <c r="A1" s="114" t="s">
        <v>14</v>
      </c>
      <c r="B1" s="114"/>
      <c r="C1" s="114"/>
      <c r="D1" s="114"/>
      <c r="E1" s="114"/>
      <c r="F1" s="114"/>
      <c r="G1" s="114"/>
      <c r="H1" s="114"/>
      <c r="I1" s="114"/>
      <c r="J1" s="114"/>
      <c r="K1" s="114"/>
      <c r="L1" s="114"/>
      <c r="M1" s="114"/>
    </row>
    <row r="2" spans="1:27" ht="14.25">
      <c r="A2" s="114"/>
      <c r="B2" s="114"/>
      <c r="C2" s="114"/>
      <c r="D2" s="114"/>
      <c r="E2" s="114"/>
      <c r="F2" s="114"/>
      <c r="G2" s="114"/>
      <c r="H2" s="114"/>
      <c r="I2" s="114"/>
      <c r="J2" s="114"/>
      <c r="K2" s="114"/>
      <c r="L2" s="114"/>
      <c r="M2" s="114"/>
    </row>
    <row r="3" spans="1:27" ht="14.25">
      <c r="A3" s="114"/>
      <c r="B3" s="114"/>
      <c r="C3" s="114"/>
      <c r="D3" s="114"/>
      <c r="E3" s="114"/>
      <c r="F3" s="114"/>
      <c r="G3" s="114"/>
      <c r="H3" s="114"/>
      <c r="I3" s="114"/>
      <c r="J3" s="114"/>
      <c r="K3" s="114"/>
      <c r="L3" s="114"/>
      <c r="M3" s="114"/>
    </row>
    <row r="4" spans="1:27" ht="14.25">
      <c r="A4" s="114"/>
      <c r="B4" s="114"/>
      <c r="C4" s="114"/>
      <c r="D4" s="114"/>
      <c r="E4" s="114"/>
      <c r="F4" s="114"/>
      <c r="G4" s="114"/>
      <c r="H4" s="114"/>
      <c r="I4" s="114"/>
      <c r="J4" s="114"/>
      <c r="K4" s="114"/>
      <c r="L4" s="114"/>
      <c r="M4" s="114"/>
    </row>
    <row r="5" spans="1:27" ht="3" customHeight="1">
      <c r="A5" s="115"/>
      <c r="B5" s="115"/>
      <c r="C5" s="115"/>
      <c r="D5" s="115"/>
      <c r="E5" s="115"/>
      <c r="F5" s="115"/>
      <c r="G5" s="115"/>
      <c r="H5" s="115"/>
      <c r="I5" s="115"/>
      <c r="J5" s="115"/>
      <c r="K5" s="115"/>
      <c r="L5" s="115"/>
      <c r="M5" s="116"/>
    </row>
    <row r="6" spans="1:27" ht="28.5" customHeight="1" thickBot="1">
      <c r="A6" s="117" t="s">
        <v>15</v>
      </c>
      <c r="B6" s="114"/>
      <c r="C6" s="114"/>
      <c r="D6" s="114"/>
      <c r="E6" s="114"/>
      <c r="F6" s="114"/>
      <c r="G6" s="114"/>
      <c r="H6" s="114"/>
      <c r="I6" s="114"/>
      <c r="J6" s="114"/>
      <c r="K6" s="114"/>
      <c r="L6" s="114"/>
      <c r="M6" s="118"/>
      <c r="Y6" s="13">
        <v>0</v>
      </c>
      <c r="AA6" s="12" t="e">
        <f>+CONCATENATE($A$20," ",#REF!," = ",#REF!)</f>
        <v>#REF!</v>
      </c>
    </row>
    <row r="7" spans="1:27" ht="17.45" customHeight="1" thickBot="1">
      <c r="A7" s="103" t="s">
        <v>8</v>
      </c>
      <c r="B7" s="104"/>
      <c r="C7" s="104"/>
      <c r="D7" s="104"/>
      <c r="E7" s="104"/>
      <c r="F7" s="104"/>
      <c r="G7" s="104"/>
      <c r="H7" s="104"/>
      <c r="I7" s="104"/>
      <c r="J7" s="104"/>
      <c r="K7" s="104"/>
      <c r="L7" s="104"/>
      <c r="M7" s="105"/>
      <c r="Y7" s="13">
        <v>1</v>
      </c>
      <c r="AA7" s="12" t="str">
        <f>+CONCATENATE($A$20," ",$A$21," = ",$B$21)</f>
        <v>Nivel 1 = Inicial</v>
      </c>
    </row>
    <row r="8" spans="1:27" ht="25.35" customHeight="1">
      <c r="A8" s="119" t="s">
        <v>530</v>
      </c>
      <c r="B8" s="120"/>
      <c r="C8" s="120"/>
      <c r="D8" s="120"/>
      <c r="E8" s="120"/>
      <c r="F8" s="120"/>
      <c r="G8" s="120"/>
      <c r="H8" s="120"/>
      <c r="I8" s="120"/>
      <c r="J8" s="120"/>
      <c r="K8" s="120"/>
      <c r="L8" s="120"/>
      <c r="M8" s="121"/>
      <c r="Y8" s="13">
        <v>2</v>
      </c>
      <c r="AA8" s="12" t="str">
        <f>+CONCATENATE($A$20," ",$A$22," = ",$B$22)</f>
        <v>Nivel 2 = Repetible</v>
      </c>
    </row>
    <row r="9" spans="1:27" ht="25.35" customHeight="1">
      <c r="A9" s="122"/>
      <c r="B9" s="123"/>
      <c r="C9" s="123"/>
      <c r="D9" s="123"/>
      <c r="E9" s="123"/>
      <c r="F9" s="123"/>
      <c r="G9" s="123"/>
      <c r="H9" s="123"/>
      <c r="I9" s="123"/>
      <c r="J9" s="123"/>
      <c r="K9" s="123"/>
      <c r="L9" s="123"/>
      <c r="M9" s="124"/>
      <c r="Y9" s="13">
        <v>3</v>
      </c>
      <c r="AA9" s="12" t="str">
        <f>+CONCATENATE($A$20," ",$A$23," = ",$B$23)</f>
        <v>Nivel 3 = Definido</v>
      </c>
    </row>
    <row r="10" spans="1:27" ht="25.35" customHeight="1" thickBot="1">
      <c r="A10" s="125"/>
      <c r="B10" s="126"/>
      <c r="C10" s="126"/>
      <c r="D10" s="126"/>
      <c r="E10" s="126"/>
      <c r="F10" s="126"/>
      <c r="G10" s="126"/>
      <c r="H10" s="126"/>
      <c r="I10" s="126"/>
      <c r="J10" s="126"/>
      <c r="K10" s="126"/>
      <c r="L10" s="126"/>
      <c r="M10" s="127"/>
      <c r="Y10" s="13">
        <v>4</v>
      </c>
      <c r="AA10" s="12" t="str">
        <f>+CONCATENATE($A$20," ",$A$24," = ",$B$24)</f>
        <v>Nivel 4 = Gestionado</v>
      </c>
    </row>
    <row r="11" spans="1:27" ht="17.45" customHeight="1" thickBot="1">
      <c r="A11" s="103" t="s">
        <v>16</v>
      </c>
      <c r="B11" s="104"/>
      <c r="C11" s="104"/>
      <c r="D11" s="104"/>
      <c r="E11" s="104"/>
      <c r="F11" s="104"/>
      <c r="G11" s="104"/>
      <c r="H11" s="104"/>
      <c r="I11" s="104"/>
      <c r="J11" s="104"/>
      <c r="K11" s="104"/>
      <c r="L11" s="104"/>
      <c r="M11" s="105"/>
      <c r="Y11" s="13">
        <v>5</v>
      </c>
      <c r="AA11" s="12" t="e">
        <f>+CONCATENATE($A$20," ",#REF!," = ",#REF!)</f>
        <v>#REF!</v>
      </c>
    </row>
    <row r="12" spans="1:27" ht="67.349999999999994" customHeight="1" thickBot="1">
      <c r="A12" s="106" t="s">
        <v>531</v>
      </c>
      <c r="B12" s="107"/>
      <c r="C12" s="107"/>
      <c r="D12" s="107"/>
      <c r="E12" s="107"/>
      <c r="F12" s="107"/>
      <c r="G12" s="107"/>
      <c r="H12" s="107"/>
      <c r="I12" s="107"/>
      <c r="J12" s="107"/>
      <c r="K12" s="107"/>
      <c r="L12" s="107"/>
      <c r="M12" s="108"/>
    </row>
    <row r="13" spans="1:27" ht="17.45" customHeight="1" thickBot="1">
      <c r="A13" s="103" t="s">
        <v>14</v>
      </c>
      <c r="B13" s="104"/>
      <c r="C13" s="104"/>
      <c r="D13" s="104"/>
      <c r="E13" s="104"/>
      <c r="F13" s="104"/>
      <c r="G13" s="104"/>
      <c r="H13" s="104"/>
      <c r="I13" s="104"/>
      <c r="J13" s="104"/>
      <c r="K13" s="104"/>
      <c r="L13" s="104"/>
      <c r="M13" s="105"/>
    </row>
    <row r="14" spans="1:27" ht="14.25">
      <c r="A14" s="14"/>
      <c r="B14" s="15"/>
      <c r="C14" s="15"/>
      <c r="D14" s="15"/>
      <c r="E14" s="15"/>
      <c r="F14" s="15"/>
      <c r="G14" s="15"/>
      <c r="H14" s="15"/>
      <c r="I14" s="15"/>
      <c r="J14" s="15"/>
      <c r="K14" s="15"/>
      <c r="L14" s="15"/>
      <c r="M14" s="16"/>
    </row>
    <row r="15" spans="1:27" ht="18.600000000000001" customHeight="1">
      <c r="A15" s="109" t="s">
        <v>17</v>
      </c>
      <c r="B15" s="110"/>
      <c r="C15" s="110"/>
      <c r="D15" s="110"/>
      <c r="E15" s="110"/>
      <c r="F15" s="110"/>
      <c r="G15" s="110"/>
      <c r="H15" s="110"/>
      <c r="I15" s="110"/>
      <c r="J15" s="110"/>
      <c r="K15" s="110"/>
      <c r="L15" s="110"/>
      <c r="M15" s="111"/>
    </row>
    <row r="16" spans="1:27" ht="20.45" customHeight="1">
      <c r="A16" s="112" t="s">
        <v>171</v>
      </c>
      <c r="B16" s="113"/>
      <c r="C16" s="113"/>
      <c r="D16" s="113"/>
      <c r="E16" s="113"/>
      <c r="F16" s="113"/>
      <c r="G16" s="113"/>
      <c r="H16" s="113"/>
      <c r="I16" s="113"/>
      <c r="J16" s="113"/>
      <c r="K16" s="113"/>
      <c r="L16" s="113"/>
      <c r="M16" s="16"/>
    </row>
    <row r="17" spans="1:13" ht="20.45" customHeight="1">
      <c r="A17" s="112"/>
      <c r="B17" s="113"/>
      <c r="C17" s="113"/>
      <c r="D17" s="113"/>
      <c r="E17" s="113"/>
      <c r="F17" s="113"/>
      <c r="G17" s="113"/>
      <c r="H17" s="113"/>
      <c r="I17" s="113"/>
      <c r="J17" s="113"/>
      <c r="K17" s="113"/>
      <c r="L17" s="113"/>
      <c r="M17" s="16"/>
    </row>
    <row r="18" spans="1:13" ht="20.45" customHeight="1">
      <c r="A18" s="112"/>
      <c r="B18" s="113"/>
      <c r="C18" s="113"/>
      <c r="D18" s="113"/>
      <c r="E18" s="113"/>
      <c r="F18" s="113"/>
      <c r="G18" s="113"/>
      <c r="H18" s="113"/>
      <c r="I18" s="113"/>
      <c r="J18" s="113"/>
      <c r="K18" s="113"/>
      <c r="L18" s="113"/>
      <c r="M18" s="16"/>
    </row>
    <row r="19" spans="1:13" ht="14.25">
      <c r="A19" s="14"/>
      <c r="B19" s="15"/>
      <c r="C19" s="15"/>
      <c r="D19" s="15"/>
      <c r="E19" s="15"/>
      <c r="F19" s="15"/>
      <c r="G19" s="15"/>
      <c r="H19" s="15"/>
      <c r="I19" s="15"/>
      <c r="J19" s="15"/>
      <c r="K19" s="15"/>
      <c r="L19" s="15"/>
      <c r="M19" s="16"/>
    </row>
    <row r="20" spans="1:13" ht="15">
      <c r="A20" s="18" t="s">
        <v>9</v>
      </c>
      <c r="B20" s="18" t="s">
        <v>11</v>
      </c>
      <c r="C20" s="101" t="s">
        <v>18</v>
      </c>
      <c r="D20" s="102"/>
      <c r="E20" s="102"/>
      <c r="F20" s="102"/>
      <c r="G20" s="102"/>
      <c r="H20" s="102"/>
      <c r="I20" s="102"/>
      <c r="J20" s="102"/>
      <c r="K20" s="15"/>
      <c r="L20" s="15"/>
      <c r="M20" s="16"/>
    </row>
    <row r="21" spans="1:13" ht="51.75" customHeight="1">
      <c r="A21" s="19">
        <v>1</v>
      </c>
      <c r="B21" s="19" t="s">
        <v>19</v>
      </c>
      <c r="C21" s="131" t="s">
        <v>79</v>
      </c>
      <c r="D21" s="131"/>
      <c r="E21" s="131"/>
      <c r="F21" s="131"/>
      <c r="G21" s="131"/>
      <c r="H21" s="131"/>
      <c r="I21" s="131"/>
      <c r="J21" s="131"/>
      <c r="K21" s="15"/>
      <c r="L21" s="15"/>
      <c r="M21" s="16"/>
    </row>
    <row r="22" spans="1:13" ht="51.75" customHeight="1">
      <c r="A22" s="19">
        <v>2</v>
      </c>
      <c r="B22" s="19" t="s">
        <v>51</v>
      </c>
      <c r="C22" s="131" t="s">
        <v>80</v>
      </c>
      <c r="D22" s="131"/>
      <c r="E22" s="131"/>
      <c r="F22" s="131"/>
      <c r="G22" s="131"/>
      <c r="H22" s="131"/>
      <c r="I22" s="131"/>
      <c r="J22" s="131"/>
      <c r="K22" s="15"/>
      <c r="L22" s="15"/>
      <c r="M22" s="16"/>
    </row>
    <row r="23" spans="1:13" ht="51.75" customHeight="1">
      <c r="A23" s="19">
        <v>3</v>
      </c>
      <c r="B23" s="19" t="s">
        <v>20</v>
      </c>
      <c r="C23" s="131" t="s">
        <v>81</v>
      </c>
      <c r="D23" s="131"/>
      <c r="E23" s="131"/>
      <c r="F23" s="131"/>
      <c r="G23" s="131"/>
      <c r="H23" s="131"/>
      <c r="I23" s="131"/>
      <c r="J23" s="131"/>
      <c r="K23" s="15"/>
      <c r="L23" s="15"/>
      <c r="M23" s="16"/>
    </row>
    <row r="24" spans="1:13" ht="51.75" customHeight="1">
      <c r="A24" s="19">
        <v>4</v>
      </c>
      <c r="B24" s="19" t="s">
        <v>21</v>
      </c>
      <c r="C24" s="131" t="s">
        <v>82</v>
      </c>
      <c r="D24" s="131"/>
      <c r="E24" s="131"/>
      <c r="F24" s="131"/>
      <c r="G24" s="131"/>
      <c r="H24" s="131"/>
      <c r="I24" s="131"/>
      <c r="J24" s="131"/>
      <c r="K24" s="15"/>
      <c r="L24" s="15"/>
      <c r="M24" s="16"/>
    </row>
    <row r="25" spans="1:13" ht="14.25">
      <c r="A25" s="21"/>
      <c r="B25" s="21"/>
      <c r="C25" s="8"/>
      <c r="D25" s="8"/>
      <c r="E25" s="8"/>
      <c r="F25" s="8"/>
      <c r="G25" s="15"/>
      <c r="H25" s="15"/>
      <c r="I25" s="15"/>
      <c r="J25" s="15"/>
      <c r="K25" s="15"/>
      <c r="L25" s="15"/>
      <c r="M25" s="20"/>
    </row>
    <row r="26" spans="1:13" ht="15">
      <c r="A26" s="132" t="s">
        <v>172</v>
      </c>
      <c r="B26" s="133"/>
      <c r="C26" s="133"/>
      <c r="D26" s="133"/>
      <c r="E26" s="133"/>
      <c r="F26" s="133"/>
      <c r="G26" s="133"/>
      <c r="H26" s="133"/>
      <c r="I26" s="133"/>
      <c r="J26" s="133"/>
      <c r="K26" s="133"/>
      <c r="L26" s="133"/>
      <c r="M26" s="134"/>
    </row>
    <row r="27" spans="1:13" ht="18.75" customHeight="1">
      <c r="A27" s="112" t="s">
        <v>70</v>
      </c>
      <c r="B27" s="113"/>
      <c r="C27" s="113"/>
      <c r="D27" s="113"/>
      <c r="E27" s="113"/>
      <c r="F27" s="113"/>
      <c r="G27" s="113"/>
      <c r="H27" s="113"/>
      <c r="I27" s="113"/>
      <c r="J27" s="113"/>
      <c r="K27" s="113"/>
      <c r="L27" s="113"/>
      <c r="M27" s="135"/>
    </row>
    <row r="28" spans="1:13" ht="32.25" customHeight="1">
      <c r="A28" s="136" t="s">
        <v>71</v>
      </c>
      <c r="B28" s="137"/>
      <c r="C28" s="137"/>
      <c r="D28" s="137"/>
      <c r="E28" s="137"/>
      <c r="F28" s="137"/>
      <c r="G28" s="137"/>
      <c r="H28" s="137"/>
      <c r="I28" s="137"/>
      <c r="J28" s="137"/>
      <c r="K28" s="137"/>
      <c r="L28" s="137"/>
      <c r="M28" s="16"/>
    </row>
    <row r="29" spans="1:13" ht="14.25">
      <c r="A29" s="112" t="s">
        <v>22</v>
      </c>
      <c r="B29" s="113"/>
      <c r="C29" s="113"/>
      <c r="D29" s="113"/>
      <c r="E29" s="113"/>
      <c r="F29" s="113"/>
      <c r="G29" s="113"/>
      <c r="H29" s="113"/>
      <c r="I29" s="113"/>
      <c r="J29" s="113"/>
      <c r="K29" s="113"/>
      <c r="L29" s="113"/>
      <c r="M29" s="16"/>
    </row>
    <row r="30" spans="1:13" ht="29.25" customHeight="1">
      <c r="A30" s="14"/>
      <c r="B30" s="15"/>
      <c r="C30" s="15"/>
      <c r="D30" s="15"/>
      <c r="E30" s="15"/>
      <c r="F30" s="15"/>
      <c r="G30" s="15"/>
      <c r="H30" s="15"/>
      <c r="I30" s="15"/>
      <c r="J30" s="15"/>
      <c r="K30" s="15"/>
      <c r="L30" s="15"/>
      <c r="M30" s="16"/>
    </row>
    <row r="31" spans="1:13" ht="29.25" customHeight="1">
      <c r="A31" s="14"/>
      <c r="B31" s="15"/>
      <c r="C31" s="15"/>
      <c r="D31" s="15"/>
      <c r="E31" s="15"/>
      <c r="F31" s="15"/>
      <c r="G31" s="15"/>
      <c r="H31" s="15"/>
      <c r="I31" s="15"/>
      <c r="J31" s="15"/>
      <c r="K31" s="15"/>
      <c r="L31" s="15"/>
      <c r="M31" s="16"/>
    </row>
    <row r="32" spans="1:13" ht="29.25" customHeight="1">
      <c r="A32" s="14"/>
      <c r="B32" s="15"/>
      <c r="C32" s="15"/>
      <c r="D32" s="15"/>
      <c r="E32" s="15"/>
      <c r="F32" s="15"/>
      <c r="G32" s="15"/>
      <c r="H32" s="15"/>
      <c r="I32" s="15"/>
      <c r="J32" s="15"/>
      <c r="K32" s="15"/>
      <c r="L32" s="15"/>
      <c r="M32" s="16"/>
    </row>
    <row r="33" spans="1:13" ht="29.25" customHeight="1">
      <c r="A33" s="17"/>
      <c r="B33" s="17"/>
      <c r="C33" s="17"/>
      <c r="D33" s="17"/>
      <c r="E33" s="17"/>
      <c r="F33" s="17"/>
      <c r="G33" s="17"/>
      <c r="H33" s="17"/>
      <c r="I33" s="17"/>
      <c r="J33" s="17"/>
      <c r="K33" s="17"/>
      <c r="L33" s="17"/>
      <c r="M33" s="20"/>
    </row>
    <row r="34" spans="1:13" ht="29.25" customHeight="1">
      <c r="A34" s="17"/>
      <c r="B34" s="17"/>
      <c r="C34" s="17"/>
      <c r="D34" s="17"/>
      <c r="E34" s="17"/>
      <c r="F34" s="17"/>
      <c r="G34" s="17"/>
      <c r="H34" s="17"/>
      <c r="I34" s="17"/>
      <c r="J34" s="17"/>
      <c r="K34" s="17"/>
      <c r="L34" s="17"/>
      <c r="M34" s="20"/>
    </row>
    <row r="35" spans="1:13" ht="14.25">
      <c r="A35" s="14"/>
      <c r="B35" s="15"/>
      <c r="C35" s="15"/>
      <c r="D35" s="15"/>
      <c r="F35" s="15"/>
      <c r="G35" s="15"/>
      <c r="H35" s="15"/>
      <c r="I35" s="15"/>
      <c r="J35" s="15"/>
      <c r="K35" s="15"/>
      <c r="L35" s="15"/>
      <c r="M35" s="16"/>
    </row>
    <row r="36" spans="1:13" ht="15">
      <c r="A36" s="132" t="s">
        <v>23</v>
      </c>
      <c r="B36" s="133"/>
      <c r="C36" s="133"/>
      <c r="D36" s="133"/>
      <c r="E36" s="133"/>
      <c r="F36" s="133"/>
      <c r="G36" s="133"/>
      <c r="H36" s="133"/>
      <c r="I36" s="133"/>
      <c r="J36" s="133"/>
      <c r="K36" s="133"/>
      <c r="L36" s="133"/>
      <c r="M36" s="134"/>
    </row>
    <row r="37" spans="1:13" ht="14.25">
      <c r="A37" s="128" t="s">
        <v>72</v>
      </c>
      <c r="B37" s="129"/>
      <c r="C37" s="129"/>
      <c r="D37" s="129"/>
      <c r="E37" s="129"/>
      <c r="F37" s="129"/>
      <c r="G37" s="129"/>
      <c r="H37" s="129"/>
      <c r="I37" s="129"/>
      <c r="J37" s="129"/>
      <c r="K37" s="129"/>
      <c r="L37" s="129"/>
      <c r="M37" s="130"/>
    </row>
    <row r="38" spans="1:13" ht="14.25">
      <c r="A38" s="128"/>
      <c r="B38" s="129"/>
      <c r="C38" s="129"/>
      <c r="D38" s="129"/>
      <c r="E38" s="129"/>
      <c r="F38" s="129"/>
      <c r="G38" s="129"/>
      <c r="H38" s="129"/>
      <c r="I38" s="129"/>
      <c r="J38" s="129"/>
      <c r="K38" s="129"/>
      <c r="L38" s="129"/>
      <c r="M38" s="130"/>
    </row>
    <row r="39" spans="1:13" ht="14.25">
      <c r="A39" s="128"/>
      <c r="B39" s="129"/>
      <c r="C39" s="129"/>
      <c r="D39" s="129"/>
      <c r="E39" s="129"/>
      <c r="F39" s="129"/>
      <c r="G39" s="129"/>
      <c r="H39" s="129"/>
      <c r="I39" s="129"/>
      <c r="J39" s="129"/>
      <c r="K39" s="129"/>
      <c r="L39" s="129"/>
      <c r="M39" s="130"/>
    </row>
    <row r="40" spans="1:13" ht="15">
      <c r="A40" s="138" t="s">
        <v>24</v>
      </c>
      <c r="B40" s="139"/>
      <c r="C40" s="139"/>
      <c r="D40" s="139"/>
      <c r="E40" s="139"/>
      <c r="F40" s="139"/>
      <c r="G40" s="15"/>
      <c r="H40" s="15"/>
      <c r="I40" s="15"/>
      <c r="J40" s="15"/>
      <c r="K40" s="15"/>
      <c r="L40" s="15"/>
      <c r="M40" s="16"/>
    </row>
    <row r="41" spans="1:13" ht="14.25">
      <c r="A41" s="14"/>
      <c r="B41" s="15"/>
      <c r="C41" s="15"/>
      <c r="D41" s="15"/>
      <c r="E41" s="15"/>
      <c r="F41" s="15"/>
      <c r="G41" s="15"/>
      <c r="H41" s="15"/>
      <c r="I41" s="15"/>
      <c r="J41" s="15"/>
      <c r="K41" s="15"/>
      <c r="L41" s="15"/>
      <c r="M41" s="16"/>
    </row>
    <row r="42" spans="1:13" ht="14.25">
      <c r="A42" s="14"/>
      <c r="B42" s="15"/>
      <c r="C42" s="15"/>
      <c r="D42" s="15"/>
      <c r="E42" s="15"/>
      <c r="F42" s="15"/>
      <c r="G42" s="15"/>
      <c r="H42" s="15"/>
      <c r="I42" s="15"/>
      <c r="J42" s="15"/>
      <c r="K42" s="15"/>
      <c r="L42" s="15"/>
      <c r="M42" s="16"/>
    </row>
    <row r="43" spans="1:13" ht="14.25">
      <c r="A43" s="14"/>
      <c r="B43" s="15"/>
      <c r="C43" s="15"/>
      <c r="D43" s="15"/>
      <c r="E43" s="15"/>
      <c r="F43" s="15"/>
      <c r="G43" s="15"/>
      <c r="H43" s="15"/>
      <c r="I43" s="15"/>
      <c r="J43" s="15"/>
      <c r="K43" s="15"/>
      <c r="L43" s="15"/>
      <c r="M43" s="16"/>
    </row>
    <row r="44" spans="1:13" ht="14.25">
      <c r="A44" s="14"/>
      <c r="B44" s="15"/>
      <c r="C44" s="15"/>
      <c r="D44" s="15"/>
      <c r="E44" s="15"/>
      <c r="F44" s="15"/>
      <c r="G44" s="15"/>
      <c r="H44" s="15"/>
      <c r="I44" s="15"/>
      <c r="J44" s="15"/>
      <c r="K44" s="15"/>
      <c r="L44" s="15"/>
      <c r="M44" s="16"/>
    </row>
    <row r="45" spans="1:13" ht="14.25">
      <c r="A45" s="14"/>
      <c r="B45" s="15"/>
      <c r="C45" s="15"/>
      <c r="D45" s="15"/>
      <c r="E45" s="15"/>
      <c r="F45" s="15"/>
      <c r="G45" s="15"/>
      <c r="H45" s="15"/>
      <c r="I45" s="15"/>
      <c r="J45" s="15"/>
      <c r="K45" s="15"/>
      <c r="L45" s="15"/>
      <c r="M45" s="16"/>
    </row>
    <row r="46" spans="1:13" ht="14.25">
      <c r="A46" s="14"/>
      <c r="B46" s="15"/>
      <c r="C46" s="15"/>
      <c r="D46" s="15"/>
      <c r="E46" s="15"/>
      <c r="F46" s="15"/>
      <c r="G46" s="15"/>
      <c r="H46" s="15"/>
      <c r="I46" s="15"/>
      <c r="J46" s="15"/>
      <c r="K46" s="15"/>
      <c r="L46" s="15"/>
      <c r="M46" s="16"/>
    </row>
    <row r="47" spans="1:13" ht="14.25">
      <c r="A47" s="14"/>
      <c r="B47" s="15"/>
      <c r="C47" s="15"/>
      <c r="D47" s="15"/>
      <c r="E47" s="15"/>
      <c r="F47" s="15"/>
      <c r="G47" s="15"/>
      <c r="H47" s="15"/>
      <c r="I47" s="15"/>
      <c r="J47" s="15"/>
      <c r="K47" s="15"/>
      <c r="L47" s="15"/>
      <c r="M47" s="16"/>
    </row>
    <row r="48" spans="1:13" ht="14.25">
      <c r="A48" s="14"/>
      <c r="B48" s="15"/>
      <c r="C48" s="15"/>
      <c r="D48" s="15"/>
      <c r="E48" s="15"/>
      <c r="F48" s="15"/>
      <c r="G48" s="15"/>
      <c r="H48" s="15"/>
      <c r="I48" s="15"/>
      <c r="J48" s="15"/>
      <c r="K48" s="15"/>
      <c r="L48" s="15"/>
      <c r="M48" s="16"/>
    </row>
    <row r="49" spans="1:13" ht="14.25">
      <c r="A49" s="14"/>
      <c r="B49" s="15"/>
      <c r="C49" s="15"/>
      <c r="D49" s="15"/>
      <c r="E49" s="15"/>
      <c r="F49" s="15"/>
      <c r="G49" s="15"/>
      <c r="H49" s="15"/>
      <c r="I49" s="15"/>
      <c r="J49" s="15"/>
      <c r="K49" s="15"/>
      <c r="L49" s="15"/>
      <c r="M49" s="16"/>
    </row>
    <row r="50" spans="1:13" ht="14.25">
      <c r="A50" s="14"/>
      <c r="B50" s="15"/>
      <c r="C50" s="15"/>
      <c r="D50" s="15"/>
      <c r="E50" s="15"/>
      <c r="F50" s="15"/>
      <c r="G50" s="15"/>
      <c r="H50" s="15"/>
      <c r="I50" s="15"/>
      <c r="J50" s="15"/>
      <c r="K50" s="15"/>
      <c r="L50" s="15"/>
      <c r="M50" s="16"/>
    </row>
    <row r="51" spans="1:13" ht="34.35" customHeight="1">
      <c r="A51" s="14"/>
      <c r="B51" s="15"/>
      <c r="C51" s="15"/>
      <c r="D51" s="15"/>
      <c r="E51" s="15"/>
      <c r="F51" s="15"/>
      <c r="G51" s="15"/>
      <c r="H51" s="15"/>
      <c r="I51" s="15"/>
      <c r="J51" s="15"/>
      <c r="K51" s="15"/>
      <c r="L51" s="15"/>
      <c r="M51" s="16"/>
    </row>
    <row r="52" spans="1:13" ht="24" customHeight="1">
      <c r="A52" s="112" t="s">
        <v>174</v>
      </c>
      <c r="B52" s="113"/>
      <c r="C52" s="113"/>
      <c r="D52" s="113"/>
      <c r="E52" s="113"/>
      <c r="F52" s="113"/>
      <c r="G52" s="113"/>
      <c r="H52" s="113"/>
      <c r="I52" s="113"/>
      <c r="J52" s="113"/>
      <c r="K52" s="113"/>
      <c r="L52" s="113"/>
      <c r="M52" s="16"/>
    </row>
    <row r="53" spans="1:13" ht="24" customHeight="1">
      <c r="A53" s="112" t="s">
        <v>73</v>
      </c>
      <c r="B53" s="113"/>
      <c r="C53" s="113"/>
      <c r="D53" s="113"/>
      <c r="E53" s="113"/>
      <c r="F53" s="113"/>
      <c r="G53" s="113"/>
      <c r="H53" s="113"/>
      <c r="I53" s="113"/>
      <c r="J53" s="113"/>
      <c r="K53" s="113"/>
      <c r="L53" s="113"/>
      <c r="M53" s="16"/>
    </row>
    <row r="54" spans="1:13" ht="37.5" customHeight="1">
      <c r="A54" s="112" t="s">
        <v>74</v>
      </c>
      <c r="B54" s="113"/>
      <c r="C54" s="113"/>
      <c r="D54" s="113"/>
      <c r="E54" s="113"/>
      <c r="F54" s="113"/>
      <c r="G54" s="113"/>
      <c r="H54" s="113"/>
      <c r="I54" s="113"/>
      <c r="J54" s="113"/>
      <c r="K54" s="113"/>
      <c r="L54" s="113"/>
      <c r="M54" s="16"/>
    </row>
    <row r="55" spans="1:13" ht="24" customHeight="1">
      <c r="A55" s="112" t="s">
        <v>75</v>
      </c>
      <c r="B55" s="113"/>
      <c r="C55" s="113"/>
      <c r="D55" s="113"/>
      <c r="E55" s="113"/>
      <c r="F55" s="113"/>
      <c r="G55" s="113"/>
      <c r="H55" s="113"/>
      <c r="I55" s="113"/>
      <c r="J55" s="113"/>
      <c r="K55" s="113"/>
      <c r="L55" s="113"/>
      <c r="M55" s="16"/>
    </row>
    <row r="56" spans="1:13" ht="14.1" customHeight="1"/>
    <row r="57" spans="1:13" ht="14.25">
      <c r="A57" s="22"/>
      <c r="B57" s="23"/>
      <c r="C57" s="23"/>
      <c r="D57" s="23"/>
      <c r="E57" s="23"/>
      <c r="F57" s="23"/>
      <c r="G57" s="23"/>
      <c r="H57" s="23"/>
      <c r="I57" s="23"/>
      <c r="J57" s="23"/>
      <c r="K57" s="23"/>
      <c r="L57" s="23"/>
      <c r="M57" s="16"/>
    </row>
    <row r="58" spans="1:13" ht="15">
      <c r="A58" s="140" t="s">
        <v>24</v>
      </c>
      <c r="B58" s="141"/>
      <c r="C58" s="141"/>
      <c r="D58" s="141"/>
      <c r="E58" s="141"/>
      <c r="F58" s="141"/>
      <c r="G58" s="15"/>
      <c r="H58" s="15"/>
      <c r="I58" s="15"/>
      <c r="J58" s="15"/>
      <c r="K58" s="15"/>
      <c r="L58" s="15"/>
      <c r="M58" s="16"/>
    </row>
    <row r="59" spans="1:13" ht="25.5" customHeight="1">
      <c r="A59" s="14"/>
      <c r="B59" s="15"/>
      <c r="C59" s="15"/>
      <c r="D59" s="15"/>
      <c r="E59" s="15"/>
      <c r="F59" s="15"/>
      <c r="G59" s="15"/>
      <c r="H59" s="15"/>
      <c r="I59" s="15"/>
      <c r="J59" s="15"/>
      <c r="K59" s="15"/>
      <c r="L59" s="15"/>
      <c r="M59" s="16"/>
    </row>
    <row r="60" spans="1:13" ht="25.5" customHeight="1">
      <c r="A60" s="14"/>
      <c r="B60" s="15"/>
      <c r="C60" s="15"/>
      <c r="D60" s="15"/>
      <c r="E60" s="15"/>
      <c r="F60" s="15"/>
      <c r="G60" s="15"/>
      <c r="H60" s="15"/>
      <c r="I60" s="15"/>
      <c r="J60" s="15"/>
      <c r="K60" s="15"/>
      <c r="L60" s="15"/>
      <c r="M60" s="16"/>
    </row>
    <row r="61" spans="1:13" ht="25.5" customHeight="1">
      <c r="A61" s="14"/>
      <c r="B61" s="15"/>
      <c r="C61" s="15"/>
      <c r="D61" s="15"/>
      <c r="E61" s="15"/>
      <c r="F61" s="15"/>
      <c r="G61" s="15"/>
      <c r="H61" s="15"/>
      <c r="I61" s="15"/>
      <c r="J61" s="15"/>
      <c r="K61" s="15"/>
      <c r="L61" s="15"/>
      <c r="M61" s="16"/>
    </row>
    <row r="62" spans="1:13" ht="25.5" customHeight="1">
      <c r="A62" s="14"/>
      <c r="B62" s="15"/>
      <c r="C62" s="15"/>
      <c r="D62" s="15"/>
      <c r="E62" s="15"/>
      <c r="F62" s="15"/>
      <c r="G62" s="15"/>
      <c r="H62" s="15"/>
      <c r="I62" s="15"/>
      <c r="J62" s="15"/>
      <c r="K62" s="15"/>
      <c r="L62" s="15"/>
      <c r="M62" s="16"/>
    </row>
    <row r="63" spans="1:13" ht="25.5" customHeight="1">
      <c r="A63" s="14"/>
      <c r="B63" s="15"/>
      <c r="C63" s="15"/>
      <c r="D63" s="15"/>
      <c r="E63" s="15"/>
      <c r="F63" s="15"/>
      <c r="G63" s="15"/>
      <c r="H63" s="15"/>
      <c r="I63" s="15"/>
      <c r="J63" s="15"/>
      <c r="K63" s="15"/>
      <c r="L63" s="15"/>
      <c r="M63" s="16"/>
    </row>
    <row r="64" spans="1:13" ht="25.5" customHeight="1">
      <c r="A64" s="14"/>
      <c r="B64" s="15"/>
      <c r="C64" s="15"/>
      <c r="D64" s="15"/>
      <c r="E64" s="15"/>
      <c r="F64" s="15"/>
      <c r="G64" s="15"/>
      <c r="H64" s="15"/>
      <c r="I64" s="15"/>
      <c r="J64" s="15"/>
      <c r="K64" s="15"/>
      <c r="L64" s="15"/>
      <c r="M64" s="16"/>
    </row>
    <row r="65" spans="1:13" ht="25.5" customHeight="1">
      <c r="A65" s="14"/>
      <c r="B65" s="15"/>
      <c r="C65" s="15"/>
      <c r="D65" s="15"/>
      <c r="E65" s="15"/>
      <c r="F65" s="15"/>
      <c r="G65" s="15"/>
      <c r="H65" s="15"/>
      <c r="I65" s="15"/>
      <c r="J65" s="15"/>
      <c r="K65" s="15"/>
      <c r="L65" s="15"/>
      <c r="M65" s="16"/>
    </row>
    <row r="66" spans="1:13" ht="35.450000000000003" customHeight="1">
      <c r="A66" s="112" t="s">
        <v>76</v>
      </c>
      <c r="B66" s="113"/>
      <c r="C66" s="113"/>
      <c r="D66" s="113"/>
      <c r="E66" s="113"/>
      <c r="F66" s="113"/>
      <c r="G66" s="113"/>
      <c r="H66" s="113"/>
      <c r="I66" s="113"/>
      <c r="J66" s="113"/>
      <c r="K66" s="113"/>
      <c r="L66" s="113"/>
      <c r="M66" s="16"/>
    </row>
    <row r="67" spans="1:13" ht="17.100000000000001" customHeight="1">
      <c r="A67" s="22"/>
      <c r="B67" s="23"/>
      <c r="C67" s="23"/>
      <c r="D67" s="23"/>
      <c r="E67" s="23"/>
      <c r="F67" s="23"/>
      <c r="G67" s="23"/>
      <c r="H67" s="23"/>
      <c r="I67" s="23"/>
      <c r="J67" s="23"/>
      <c r="K67" s="23"/>
      <c r="L67" s="23"/>
      <c r="M67" s="16"/>
    </row>
    <row r="68" spans="1:13" ht="15">
      <c r="A68" s="132" t="s">
        <v>25</v>
      </c>
      <c r="B68" s="133"/>
      <c r="C68" s="133"/>
      <c r="D68" s="133"/>
      <c r="E68" s="133"/>
      <c r="F68" s="133"/>
      <c r="G68" s="133"/>
      <c r="H68" s="133"/>
      <c r="I68" s="133"/>
      <c r="J68" s="133"/>
      <c r="K68" s="133"/>
      <c r="L68" s="133"/>
      <c r="M68" s="134"/>
    </row>
    <row r="69" spans="1:13" ht="71.099999999999994" customHeight="1">
      <c r="A69" s="112" t="s">
        <v>175</v>
      </c>
      <c r="B69" s="113"/>
      <c r="C69" s="113"/>
      <c r="D69" s="113"/>
      <c r="E69" s="113"/>
      <c r="F69" s="113"/>
      <c r="G69" s="113"/>
      <c r="H69" s="113"/>
      <c r="I69" s="113"/>
      <c r="J69" s="113"/>
      <c r="K69" s="113"/>
      <c r="L69" s="113"/>
      <c r="M69" s="16"/>
    </row>
    <row r="70" spans="1:13" ht="14.25" customHeight="1">
      <c r="A70" s="22"/>
      <c r="B70" s="23"/>
      <c r="C70" s="23"/>
      <c r="D70" s="23"/>
      <c r="E70" s="23"/>
      <c r="F70" s="23"/>
      <c r="G70" s="23"/>
      <c r="H70" s="23"/>
      <c r="I70" s="23"/>
      <c r="J70" s="23"/>
      <c r="K70" s="23"/>
      <c r="L70" s="23"/>
      <c r="M70" s="16"/>
    </row>
    <row r="71" spans="1:13" ht="14.25">
      <c r="H71" s="15"/>
      <c r="I71" s="15"/>
      <c r="J71" s="15"/>
      <c r="K71" s="15"/>
      <c r="L71" s="15"/>
      <c r="M71" s="16"/>
    </row>
    <row r="72" spans="1:13" ht="14.25">
      <c r="H72" s="15"/>
      <c r="I72" s="15"/>
      <c r="J72" s="15"/>
      <c r="K72" s="15"/>
      <c r="L72" s="15"/>
      <c r="M72" s="16"/>
    </row>
    <row r="73" spans="1:13" ht="195" customHeight="1">
      <c r="A73" s="25"/>
      <c r="B73" s="129"/>
      <c r="C73" s="129"/>
      <c r="D73" s="129"/>
      <c r="E73" s="129"/>
      <c r="F73" s="129"/>
      <c r="G73" s="17"/>
      <c r="H73" s="15"/>
      <c r="I73" s="15"/>
      <c r="J73" s="15"/>
      <c r="K73" s="15"/>
      <c r="L73" s="15"/>
      <c r="M73" s="16"/>
    </row>
    <row r="74" spans="1:13" ht="49.5" customHeight="1">
      <c r="A74" s="25" t="s">
        <v>26</v>
      </c>
      <c r="B74" s="129" t="s">
        <v>177</v>
      </c>
      <c r="C74" s="129"/>
      <c r="D74" s="129"/>
      <c r="E74" s="129"/>
      <c r="F74" s="129"/>
      <c r="G74" s="17"/>
      <c r="H74" s="15"/>
      <c r="I74" s="15"/>
      <c r="J74" s="15"/>
      <c r="K74" s="15"/>
      <c r="L74" s="15"/>
      <c r="M74" s="16"/>
    </row>
    <row r="75" spans="1:13" ht="49.5" customHeight="1">
      <c r="A75" s="84" t="s">
        <v>77</v>
      </c>
      <c r="B75" s="129" t="s">
        <v>176</v>
      </c>
      <c r="C75" s="129"/>
      <c r="D75" s="129"/>
      <c r="E75" s="129"/>
      <c r="F75" s="129"/>
      <c r="G75" s="15"/>
      <c r="H75" s="15"/>
      <c r="I75" s="15"/>
      <c r="J75" s="15"/>
      <c r="K75" s="15"/>
      <c r="L75" s="15"/>
      <c r="M75" s="16"/>
    </row>
    <row r="76" spans="1:13" ht="14.25">
      <c r="H76" s="15"/>
      <c r="I76" s="15"/>
      <c r="J76" s="15"/>
      <c r="K76" s="15"/>
      <c r="L76" s="15"/>
      <c r="M76" s="16"/>
    </row>
    <row r="77" spans="1:13" ht="15">
      <c r="A77" s="142" t="s">
        <v>27</v>
      </c>
      <c r="B77" s="143"/>
      <c r="C77" s="143"/>
      <c r="D77" s="143"/>
      <c r="E77" s="143"/>
      <c r="F77" s="143"/>
      <c r="G77" s="143"/>
      <c r="H77" s="143"/>
      <c r="I77" s="143"/>
      <c r="J77" s="143"/>
      <c r="K77" s="143"/>
      <c r="L77" s="143"/>
      <c r="M77" s="144"/>
    </row>
    <row r="78" spans="1:13" ht="45.75" customHeight="1">
      <c r="A78" s="145" t="s">
        <v>28</v>
      </c>
      <c r="B78" s="146"/>
      <c r="C78" s="146"/>
      <c r="D78" s="146"/>
      <c r="E78" s="146"/>
      <c r="F78" s="146"/>
      <c r="G78" s="146"/>
      <c r="H78" s="146"/>
      <c r="I78" s="146"/>
      <c r="J78" s="146"/>
      <c r="K78" s="146"/>
      <c r="L78" s="146"/>
      <c r="M78" s="147"/>
    </row>
    <row r="79" spans="1:13" ht="14.25">
      <c r="A79" s="26"/>
      <c r="B79" s="27"/>
      <c r="C79" s="27"/>
      <c r="D79" s="27"/>
      <c r="E79" s="27"/>
      <c r="F79" s="27"/>
      <c r="G79" s="27"/>
      <c r="H79" s="27"/>
      <c r="I79" s="27"/>
      <c r="J79" s="27"/>
      <c r="K79" s="27"/>
      <c r="L79" s="27"/>
      <c r="M79" s="28"/>
    </row>
    <row r="80" spans="1:13" ht="15">
      <c r="A80" s="29"/>
      <c r="B80" s="29"/>
      <c r="C80" s="29"/>
      <c r="D80" s="29"/>
      <c r="E80" s="29"/>
      <c r="F80" s="29"/>
      <c r="G80" s="29"/>
      <c r="H80" s="29"/>
      <c r="I80" s="29"/>
      <c r="J80" s="29"/>
      <c r="K80" s="29"/>
      <c r="L80" s="29"/>
      <c r="M80" s="29"/>
    </row>
    <row r="81" spans="1:13" ht="15">
      <c r="A81" s="29"/>
      <c r="B81" s="29" t="s">
        <v>29</v>
      </c>
      <c r="C81" s="29"/>
      <c r="D81" s="29"/>
      <c r="E81" s="29"/>
      <c r="F81" s="29"/>
      <c r="G81" s="29"/>
      <c r="H81" s="29"/>
      <c r="I81" s="30" t="s">
        <v>30</v>
      </c>
      <c r="J81" s="29"/>
      <c r="K81" s="29"/>
      <c r="L81" s="29"/>
      <c r="M81" s="29"/>
    </row>
    <row r="82" spans="1:13" ht="15">
      <c r="A82" s="29"/>
      <c r="B82" s="29"/>
      <c r="C82" s="29"/>
      <c r="D82" s="29"/>
      <c r="E82" s="29"/>
      <c r="F82" s="29"/>
      <c r="G82" s="29"/>
      <c r="H82" s="29"/>
      <c r="I82" s="29"/>
      <c r="J82" s="29"/>
      <c r="K82" s="29"/>
      <c r="L82" s="29"/>
      <c r="M82" s="29"/>
    </row>
    <row r="83" spans="1:13" ht="14.25"/>
    <row r="84" spans="1:13" ht="14.25"/>
    <row r="85" spans="1:13" ht="14.25"/>
    <row r="86" spans="1:13" ht="14.25"/>
    <row r="87" spans="1:13" ht="14.25"/>
    <row r="88" spans="1:13" ht="14.25"/>
    <row r="89" spans="1:13" ht="14.25"/>
    <row r="90" spans="1:13" ht="14.25"/>
    <row r="91" spans="1:13" ht="14.25"/>
    <row r="92" spans="1:13" ht="14.25"/>
    <row r="93" spans="1:13" ht="14.1" customHeight="1"/>
    <row r="94" spans="1:13" ht="14.1" customHeight="1"/>
    <row r="95" spans="1:13" ht="14.1" customHeight="1"/>
    <row r="96" spans="1:13" ht="14.1" customHeight="1"/>
    <row r="97" ht="14.1" customHeight="1"/>
    <row r="98" ht="14.1" customHeight="1"/>
    <row r="99" ht="14.1" customHeight="1"/>
    <row r="100" ht="14.1" customHeight="1"/>
    <row r="101" ht="14.1" customHeight="1"/>
    <row r="102" ht="14.1" customHeight="1"/>
    <row r="103" ht="14.1" customHeight="1"/>
  </sheetData>
  <mergeCells count="35">
    <mergeCell ref="B73:F73"/>
    <mergeCell ref="B74:F74"/>
    <mergeCell ref="B75:F75"/>
    <mergeCell ref="A77:M77"/>
    <mergeCell ref="A78:M78"/>
    <mergeCell ref="A69:L69"/>
    <mergeCell ref="A40:F40"/>
    <mergeCell ref="A52:L52"/>
    <mergeCell ref="A53:L53"/>
    <mergeCell ref="A54:L54"/>
    <mergeCell ref="A55:L55"/>
    <mergeCell ref="A66:L66"/>
    <mergeCell ref="A58:F58"/>
    <mergeCell ref="A68:M68"/>
    <mergeCell ref="A37:M39"/>
    <mergeCell ref="C21:J21"/>
    <mergeCell ref="C22:J22"/>
    <mergeCell ref="C23:J23"/>
    <mergeCell ref="C24:J24"/>
    <mergeCell ref="A26:M26"/>
    <mergeCell ref="A27:M27"/>
    <mergeCell ref="A28:L28"/>
    <mergeCell ref="A29:L29"/>
    <mergeCell ref="A36:M36"/>
    <mergeCell ref="A1:M4"/>
    <mergeCell ref="A5:M5"/>
    <mergeCell ref="A6:M6"/>
    <mergeCell ref="A7:M7"/>
    <mergeCell ref="A8:M10"/>
    <mergeCell ref="C20:J20"/>
    <mergeCell ref="A11:M11"/>
    <mergeCell ref="A12:M12"/>
    <mergeCell ref="A13:M13"/>
    <mergeCell ref="A15:M15"/>
    <mergeCell ref="A16:L18"/>
  </mergeCells>
  <hyperlinks>
    <hyperlink ref="I81" r:id="rId1" xr:uid="{00000000-0004-0000-0000-000000000000}"/>
  </hyperlinks>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3"/>
  <sheetViews>
    <sheetView showGridLines="0" topLeftCell="A13" zoomScaleNormal="100" workbookViewId="0">
      <selection activeCell="A33" sqref="A33:F33"/>
    </sheetView>
  </sheetViews>
  <sheetFormatPr baseColWidth="10" defaultColWidth="0" defaultRowHeight="22.35" customHeight="1"/>
  <cols>
    <col min="1" max="1" width="19.125" style="7" customWidth="1"/>
    <col min="2" max="3" width="19.625" style="7" customWidth="1"/>
    <col min="4" max="4" width="31.375" style="7" customWidth="1"/>
    <col min="5" max="5" width="28.125" style="7" customWidth="1"/>
    <col min="6" max="6" width="60.375" style="58" customWidth="1"/>
    <col min="7" max="7" width="22.375" style="7" customWidth="1"/>
    <col min="8" max="8" width="11.375" style="1" customWidth="1"/>
    <col min="9" max="9" width="11.375" style="1" hidden="1" customWidth="1"/>
    <col min="10" max="10" width="11.375" style="2" hidden="1" customWidth="1"/>
    <col min="11" max="12" width="11.375" style="1" hidden="1" customWidth="1"/>
    <col min="13" max="24" width="11.375" style="7" hidden="1" customWidth="1"/>
    <col min="25" max="25" width="11.375" style="12" hidden="1" customWidth="1"/>
    <col min="26" max="16384" width="11.375" style="7" hidden="1"/>
  </cols>
  <sheetData>
    <row r="1" spans="1:25" s="1" customFormat="1" ht="22.35" customHeight="1">
      <c r="A1" s="31"/>
      <c r="B1" s="149" t="s">
        <v>528</v>
      </c>
      <c r="C1" s="149"/>
      <c r="D1" s="149"/>
      <c r="E1" s="149"/>
      <c r="F1" s="149"/>
      <c r="G1" s="149"/>
      <c r="J1" s="2"/>
      <c r="Y1" s="12"/>
    </row>
    <row r="2" spans="1:25" s="1" customFormat="1" ht="14.25" customHeight="1">
      <c r="A2" s="31"/>
      <c r="B2" s="149"/>
      <c r="C2" s="149"/>
      <c r="D2" s="149"/>
      <c r="E2" s="149"/>
      <c r="F2" s="149"/>
      <c r="G2" s="149"/>
      <c r="J2" s="2"/>
      <c r="Y2" s="12"/>
    </row>
    <row r="3" spans="1:25" s="1" customFormat="1" ht="14.25" customHeight="1">
      <c r="A3" s="31"/>
      <c r="B3" s="149"/>
      <c r="C3" s="149"/>
      <c r="D3" s="149"/>
      <c r="E3" s="149"/>
      <c r="F3" s="149"/>
      <c r="G3" s="149"/>
      <c r="J3" s="2"/>
      <c r="Y3" s="12"/>
    </row>
    <row r="4" spans="1:25" customFormat="1" ht="3" customHeight="1">
      <c r="A4" s="81"/>
      <c r="B4" s="81"/>
      <c r="C4" s="81"/>
      <c r="D4" s="82"/>
      <c r="E4" s="81"/>
      <c r="F4" s="82"/>
      <c r="G4" s="83"/>
    </row>
    <row r="5" spans="1:25" s="1" customFormat="1" ht="15">
      <c r="A5" s="3" t="s">
        <v>0</v>
      </c>
      <c r="B5" s="3"/>
      <c r="C5" s="3" t="s">
        <v>1</v>
      </c>
      <c r="D5" s="4" t="s">
        <v>31</v>
      </c>
      <c r="E5" s="3" t="s">
        <v>32</v>
      </c>
      <c r="F5" s="44"/>
      <c r="G5" s="6" t="s">
        <v>2</v>
      </c>
      <c r="J5" s="2"/>
      <c r="Y5" s="12"/>
    </row>
    <row r="6" spans="1:25" s="1" customFormat="1" ht="15">
      <c r="A6" s="3" t="s">
        <v>3</v>
      </c>
      <c r="B6" s="3"/>
      <c r="C6" s="3"/>
      <c r="D6" s="4" t="s">
        <v>4</v>
      </c>
      <c r="E6" s="5"/>
      <c r="F6" s="44"/>
      <c r="G6" s="85" t="s">
        <v>5</v>
      </c>
      <c r="J6" s="2"/>
      <c r="Y6" s="12"/>
    </row>
    <row r="7" spans="1:25" s="1" customFormat="1" ht="15">
      <c r="A7" s="3" t="s">
        <v>6</v>
      </c>
      <c r="B7" s="3"/>
      <c r="C7" s="3"/>
      <c r="D7" s="4" t="s">
        <v>7</v>
      </c>
      <c r="E7" s="3"/>
      <c r="F7" s="32"/>
      <c r="G7" s="6"/>
      <c r="J7" s="2"/>
      <c r="Y7" s="12"/>
    </row>
    <row r="8" spans="1:25" ht="14.25"/>
    <row r="9" spans="1:25" ht="14.25"/>
    <row r="10" spans="1:25" ht="21.75" customHeight="1">
      <c r="A10" s="151" t="s">
        <v>8</v>
      </c>
      <c r="B10" s="152"/>
      <c r="C10" s="152"/>
      <c r="D10" s="152"/>
      <c r="E10" s="152"/>
      <c r="F10" s="152"/>
      <c r="G10" s="153"/>
    </row>
    <row r="11" spans="1:25" ht="78.599999999999994" customHeight="1">
      <c r="A11" s="131" t="s">
        <v>83</v>
      </c>
      <c r="B11" s="131"/>
      <c r="C11" s="131"/>
      <c r="D11" s="131"/>
      <c r="E11" s="131"/>
      <c r="F11" s="131"/>
      <c r="G11" s="131"/>
    </row>
    <row r="12" spans="1:25" ht="20.100000000000001" customHeight="1">
      <c r="A12" s="151" t="s">
        <v>16</v>
      </c>
      <c r="B12" s="152"/>
      <c r="C12" s="152"/>
      <c r="D12" s="152"/>
      <c r="E12" s="152"/>
      <c r="F12" s="152"/>
      <c r="G12" s="153"/>
    </row>
    <row r="13" spans="1:25" ht="56.1" customHeight="1">
      <c r="A13" s="155" t="s">
        <v>84</v>
      </c>
      <c r="B13" s="155"/>
      <c r="C13" s="155"/>
      <c r="D13" s="155"/>
      <c r="E13" s="155"/>
      <c r="F13" s="155"/>
      <c r="G13" s="155"/>
    </row>
    <row r="14" spans="1:25" ht="21.75" customHeight="1">
      <c r="A14" s="154" t="s">
        <v>89</v>
      </c>
      <c r="B14" s="154"/>
      <c r="C14" s="154"/>
      <c r="D14" s="154"/>
      <c r="E14" s="154"/>
      <c r="F14" s="154"/>
      <c r="G14" s="154"/>
    </row>
    <row r="15" spans="1:25" ht="61.35" customHeight="1">
      <c r="A15" s="150" t="s">
        <v>85</v>
      </c>
      <c r="B15" s="150"/>
      <c r="C15" s="150"/>
      <c r="D15" s="150"/>
      <c r="E15" s="150"/>
      <c r="F15" s="150"/>
      <c r="G15" s="9" t="str">
        <f>IF(COUNTIF(G17:G20,TRUE)&gt;1,"SELECCIONE SOLAMENTE UN NIVEL","Marque la opción que describa mejor la situación actual del contexto de la organización ")</f>
        <v xml:space="preserve">Marque la opción que describa mejor la situación actual del contexto de la organización </v>
      </c>
      <c r="M15" s="10"/>
    </row>
    <row r="16" spans="1:25" ht="21.75" customHeight="1">
      <c r="A16" s="62" t="s">
        <v>9</v>
      </c>
      <c r="B16" s="148" t="s">
        <v>10</v>
      </c>
      <c r="C16" s="148"/>
      <c r="D16" s="148" t="s">
        <v>11</v>
      </c>
      <c r="E16" s="148"/>
      <c r="F16" s="63" t="s">
        <v>12</v>
      </c>
      <c r="G16" s="64"/>
    </row>
    <row r="17" spans="1:14" ht="98.1" customHeight="1">
      <c r="A17" s="76" t="str">
        <f>+'Guía de uso'!$AA$7</f>
        <v>Nivel 1 = Inicial</v>
      </c>
      <c r="B17" s="131" t="s">
        <v>181</v>
      </c>
      <c r="C17" s="131"/>
      <c r="D17" s="131" t="s">
        <v>182</v>
      </c>
      <c r="E17" s="131"/>
      <c r="F17" s="61" t="s">
        <v>183</v>
      </c>
      <c r="G17" s="11" t="b">
        <v>0</v>
      </c>
      <c r="J17" s="2">
        <f>+IF(G17=TRUE,'Guía de uso'!$Y$7,0)</f>
        <v>0</v>
      </c>
      <c r="M17" s="10"/>
    </row>
    <row r="18" spans="1:14" ht="98.1" customHeight="1">
      <c r="A18" s="76" t="str">
        <f>+'Guía de uso'!$AA$8</f>
        <v>Nivel 2 = Repetible</v>
      </c>
      <c r="B18" s="131" t="s">
        <v>185</v>
      </c>
      <c r="C18" s="131"/>
      <c r="D18" s="131" t="s">
        <v>186</v>
      </c>
      <c r="E18" s="131"/>
      <c r="F18" s="61" t="s">
        <v>187</v>
      </c>
      <c r="G18" s="11" t="b">
        <v>1</v>
      </c>
      <c r="J18" s="2">
        <f>+IF(G18=TRUE,'Guía de uso'!$Y$8,0)</f>
        <v>2</v>
      </c>
      <c r="M18" s="10"/>
    </row>
    <row r="19" spans="1:14" ht="98.1" customHeight="1">
      <c r="A19" s="76" t="str">
        <f>+'Guía de uso'!$AA$9</f>
        <v>Nivel 3 = Definido</v>
      </c>
      <c r="B19" s="131" t="s">
        <v>189</v>
      </c>
      <c r="C19" s="131"/>
      <c r="D19" s="131" t="s">
        <v>190</v>
      </c>
      <c r="E19" s="131"/>
      <c r="F19" s="61" t="s">
        <v>191</v>
      </c>
      <c r="G19" s="11" t="b">
        <v>0</v>
      </c>
      <c r="J19" s="2">
        <f>+IF(G19=TRUE,'Guía de uso'!$Y$9,0)</f>
        <v>0</v>
      </c>
      <c r="M19" s="10"/>
    </row>
    <row r="20" spans="1:14" ht="117" customHeight="1">
      <c r="A20" s="76" t="str">
        <f>+'Guía de uso'!$AA$10</f>
        <v>Nivel 4 = Gestionado</v>
      </c>
      <c r="B20" s="131" t="s">
        <v>193</v>
      </c>
      <c r="C20" s="131"/>
      <c r="D20" s="131" t="s">
        <v>194</v>
      </c>
      <c r="E20" s="131"/>
      <c r="F20" s="61" t="s">
        <v>195</v>
      </c>
      <c r="G20" s="11" t="b">
        <v>0</v>
      </c>
      <c r="J20" s="2">
        <f>+IF(G20=TRUE,'Guía de uso'!$Y$10,0)</f>
        <v>0</v>
      </c>
      <c r="M20" s="10"/>
    </row>
    <row r="21" spans="1:14" ht="67.5" customHeight="1">
      <c r="A21" s="150" t="s">
        <v>86</v>
      </c>
      <c r="B21" s="150"/>
      <c r="C21" s="150"/>
      <c r="D21" s="150"/>
      <c r="E21" s="150"/>
      <c r="F21" s="150"/>
      <c r="G21" s="9" t="str">
        <f>IF(COUNTIF(G23:G26,TRUE)&gt;1,"SELECCIONE SOLAMENTE UN NIVEL","Marque la opción que describa mejor la situación actual del contexto de la organización ")</f>
        <v xml:space="preserve">Marque la opción que describa mejor la situación actual del contexto de la organización </v>
      </c>
      <c r="M21" s="10"/>
    </row>
    <row r="22" spans="1:14" ht="21.75" customHeight="1">
      <c r="A22" s="62" t="s">
        <v>9</v>
      </c>
      <c r="B22" s="148" t="s">
        <v>10</v>
      </c>
      <c r="C22" s="148"/>
      <c r="D22" s="148" t="s">
        <v>11</v>
      </c>
      <c r="E22" s="148"/>
      <c r="F22" s="63" t="s">
        <v>12</v>
      </c>
      <c r="G22" s="64"/>
    </row>
    <row r="23" spans="1:14" ht="98.1" customHeight="1">
      <c r="A23" s="76" t="str">
        <f>+'Guía de uso'!$AA$7</f>
        <v>Nivel 1 = Inicial</v>
      </c>
      <c r="B23" s="131" t="s">
        <v>496</v>
      </c>
      <c r="C23" s="131"/>
      <c r="D23" s="131" t="s">
        <v>497</v>
      </c>
      <c r="E23" s="131"/>
      <c r="F23" s="61" t="s">
        <v>498</v>
      </c>
      <c r="G23" s="11" t="b">
        <v>0</v>
      </c>
      <c r="J23" s="2">
        <f>+IF(G23=TRUE,'Guía de uso'!$Y$7,0)</f>
        <v>0</v>
      </c>
      <c r="N23" s="59"/>
    </row>
    <row r="24" spans="1:14" ht="98.1" customHeight="1">
      <c r="A24" s="76" t="str">
        <f>+'Guía de uso'!$AA$8</f>
        <v>Nivel 2 = Repetible</v>
      </c>
      <c r="B24" s="131" t="s">
        <v>500</v>
      </c>
      <c r="C24" s="131"/>
      <c r="D24" s="131" t="s">
        <v>501</v>
      </c>
      <c r="E24" s="131"/>
      <c r="F24" s="61" t="s">
        <v>502</v>
      </c>
      <c r="G24" s="11" t="b">
        <v>0</v>
      </c>
      <c r="J24" s="2">
        <f>+IF(G24=TRUE,'Guía de uso'!$Y$8,0)</f>
        <v>0</v>
      </c>
      <c r="N24" s="59"/>
    </row>
    <row r="25" spans="1:14" ht="98.1" customHeight="1">
      <c r="A25" s="76" t="str">
        <f>+'Guía de uso'!$AA$9</f>
        <v>Nivel 3 = Definido</v>
      </c>
      <c r="B25" s="131" t="s">
        <v>504</v>
      </c>
      <c r="C25" s="131"/>
      <c r="D25" s="131" t="s">
        <v>505</v>
      </c>
      <c r="E25" s="131"/>
      <c r="F25" s="61" t="s">
        <v>506</v>
      </c>
      <c r="G25" s="11" t="b">
        <v>1</v>
      </c>
      <c r="J25" s="2">
        <f>+IF(G25=TRUE,'Guía de uso'!$Y$9,0)</f>
        <v>3</v>
      </c>
      <c r="N25" s="59"/>
    </row>
    <row r="26" spans="1:14" ht="98.1" customHeight="1">
      <c r="A26" s="76" t="str">
        <f>+'Guía de uso'!$AA$10</f>
        <v>Nivel 4 = Gestionado</v>
      </c>
      <c r="B26" s="131" t="s">
        <v>508</v>
      </c>
      <c r="C26" s="131"/>
      <c r="D26" s="131" t="s">
        <v>509</v>
      </c>
      <c r="E26" s="131"/>
      <c r="F26" s="61" t="s">
        <v>510</v>
      </c>
      <c r="G26" s="11" t="b">
        <v>0</v>
      </c>
      <c r="J26" s="2">
        <f>+IF(G26=TRUE,'Guía de uso'!$Y$10,0)</f>
        <v>0</v>
      </c>
      <c r="N26" s="59"/>
    </row>
    <row r="27" spans="1:14" ht="75" customHeight="1">
      <c r="A27" s="150" t="s">
        <v>179</v>
      </c>
      <c r="B27" s="150"/>
      <c r="C27" s="150"/>
      <c r="D27" s="150"/>
      <c r="E27" s="150"/>
      <c r="F27" s="150"/>
      <c r="G27" s="9" t="str">
        <f>IF(COUNTIF(G29:G32,TRUE)&gt;1,"SELECCIONE SOLAMENTE UN NIVEL","Marque la opción que describa mejor la situación actual del contexto de la organización ")</f>
        <v xml:space="preserve">Marque la opción que describa mejor la situación actual del contexto de la organización </v>
      </c>
      <c r="M27" s="10"/>
    </row>
    <row r="28" spans="1:14" ht="21.75" customHeight="1">
      <c r="A28" s="62" t="s">
        <v>9</v>
      </c>
      <c r="B28" s="148" t="s">
        <v>10</v>
      </c>
      <c r="C28" s="148"/>
      <c r="D28" s="148" t="s">
        <v>11</v>
      </c>
      <c r="E28" s="148"/>
      <c r="F28" s="63" t="s">
        <v>12</v>
      </c>
      <c r="G28" s="64"/>
    </row>
    <row r="29" spans="1:14" ht="98.1" customHeight="1">
      <c r="A29" s="76" t="str">
        <f>+'Guía de uso'!$AA$7</f>
        <v>Nivel 1 = Inicial</v>
      </c>
      <c r="B29" s="131" t="s">
        <v>512</v>
      </c>
      <c r="C29" s="131"/>
      <c r="D29" s="131" t="s">
        <v>513</v>
      </c>
      <c r="E29" s="131"/>
      <c r="F29" s="61" t="s">
        <v>514</v>
      </c>
      <c r="G29" s="11" t="b">
        <v>0</v>
      </c>
      <c r="I29" s="50"/>
      <c r="J29" s="2">
        <f>+IF(G29=TRUE,'Guía de uso'!$Y$7,0)</f>
        <v>0</v>
      </c>
      <c r="M29" s="10"/>
    </row>
    <row r="30" spans="1:14" ht="98.1" customHeight="1">
      <c r="A30" s="76" t="str">
        <f>+'Guía de uso'!$AA$8</f>
        <v>Nivel 2 = Repetible</v>
      </c>
      <c r="B30" s="131" t="s">
        <v>516</v>
      </c>
      <c r="C30" s="131"/>
      <c r="D30" s="131" t="s">
        <v>517</v>
      </c>
      <c r="E30" s="131"/>
      <c r="F30" s="61" t="s">
        <v>518</v>
      </c>
      <c r="G30" s="11" t="b">
        <v>0</v>
      </c>
      <c r="I30" s="50"/>
      <c r="J30" s="2">
        <f>+IF(G30=TRUE,'Guía de uso'!$Y$8,0)</f>
        <v>0</v>
      </c>
      <c r="M30" s="10"/>
    </row>
    <row r="31" spans="1:14" ht="98.1" customHeight="1">
      <c r="A31" s="76" t="str">
        <f>+'Guía de uso'!$AA$9</f>
        <v>Nivel 3 = Definido</v>
      </c>
      <c r="B31" s="131" t="s">
        <v>520</v>
      </c>
      <c r="C31" s="131"/>
      <c r="D31" s="131" t="s">
        <v>521</v>
      </c>
      <c r="E31" s="131"/>
      <c r="F31" s="61" t="s">
        <v>522</v>
      </c>
      <c r="G31" s="11" t="b">
        <v>1</v>
      </c>
      <c r="I31" s="50"/>
      <c r="J31" s="2">
        <f>+IF(G31=TRUE,'Guía de uso'!$Y$9,0)</f>
        <v>3</v>
      </c>
      <c r="M31" s="10"/>
    </row>
    <row r="32" spans="1:14" ht="98.1" customHeight="1">
      <c r="A32" s="76" t="str">
        <f>+'Guía de uso'!$AA$10</f>
        <v>Nivel 4 = Gestionado</v>
      </c>
      <c r="B32" s="131" t="s">
        <v>524</v>
      </c>
      <c r="C32" s="131"/>
      <c r="D32" s="131" t="s">
        <v>525</v>
      </c>
      <c r="E32" s="131"/>
      <c r="F32" s="61" t="s">
        <v>526</v>
      </c>
      <c r="G32" s="11" t="b">
        <v>0</v>
      </c>
      <c r="I32" s="50"/>
      <c r="J32" s="2">
        <f>+IF(G32=TRUE,'Guía de uso'!$Y$10,0)</f>
        <v>0</v>
      </c>
      <c r="M32" s="10"/>
    </row>
    <row r="33" spans="1:25" ht="66.599999999999994" customHeight="1">
      <c r="A33" s="150" t="s">
        <v>87</v>
      </c>
      <c r="B33" s="150"/>
      <c r="C33" s="150"/>
      <c r="D33" s="150"/>
      <c r="E33" s="150"/>
      <c r="F33" s="150"/>
      <c r="G33" s="9" t="str">
        <f>IF(COUNTIF(G35:G38,TRUE)&gt;1,"SELECCIONE SOLAMENTE UN NIVEL","Marque la opción que describa mejor la situación actual del contexto de la organización ")</f>
        <v xml:space="preserve">Marque la opción que describa mejor la situación actual del contexto de la organización </v>
      </c>
      <c r="M33" s="10"/>
    </row>
    <row r="34" spans="1:25" ht="21.75" customHeight="1">
      <c r="A34" s="62" t="s">
        <v>9</v>
      </c>
      <c r="B34" s="148" t="s">
        <v>10</v>
      </c>
      <c r="C34" s="148"/>
      <c r="D34" s="148" t="s">
        <v>11</v>
      </c>
      <c r="E34" s="148"/>
      <c r="F34" s="63" t="s">
        <v>12</v>
      </c>
      <c r="G34" s="64"/>
    </row>
    <row r="35" spans="1:25" ht="98.1" customHeight="1">
      <c r="A35" s="76" t="str">
        <f>+'Guía de uso'!$AA$7</f>
        <v>Nivel 1 = Inicial</v>
      </c>
      <c r="B35" s="131" t="s">
        <v>197</v>
      </c>
      <c r="C35" s="131" t="s">
        <v>197</v>
      </c>
      <c r="D35" s="131" t="s">
        <v>198</v>
      </c>
      <c r="E35" s="131"/>
      <c r="F35" s="61" t="s">
        <v>199</v>
      </c>
      <c r="G35" s="11" t="b">
        <v>0</v>
      </c>
      <c r="J35" s="2">
        <f>+IF(G35=TRUE,'Guía de uso'!$Y$7,0)</f>
        <v>0</v>
      </c>
      <c r="M35" s="10"/>
    </row>
    <row r="36" spans="1:25" ht="98.1" customHeight="1">
      <c r="A36" s="76" t="str">
        <f>+'Guía de uso'!$AA$8</f>
        <v>Nivel 2 = Repetible</v>
      </c>
      <c r="B36" s="131" t="s">
        <v>201</v>
      </c>
      <c r="C36" s="131" t="s">
        <v>201</v>
      </c>
      <c r="D36" s="131" t="s">
        <v>202</v>
      </c>
      <c r="E36" s="131"/>
      <c r="F36" s="61" t="s">
        <v>203</v>
      </c>
      <c r="G36" s="11" t="b">
        <v>1</v>
      </c>
      <c r="J36" s="2">
        <f>+IF(G36=TRUE,'Guía de uso'!$Y$8,0)</f>
        <v>2</v>
      </c>
      <c r="M36" s="10"/>
    </row>
    <row r="37" spans="1:25" ht="98.1" customHeight="1">
      <c r="A37" s="76" t="str">
        <f>+'Guía de uso'!$AA$9</f>
        <v>Nivel 3 = Definido</v>
      </c>
      <c r="B37" s="131" t="s">
        <v>205</v>
      </c>
      <c r="C37" s="131" t="s">
        <v>205</v>
      </c>
      <c r="D37" s="131" t="s">
        <v>206</v>
      </c>
      <c r="E37" s="131"/>
      <c r="F37" s="61" t="s">
        <v>207</v>
      </c>
      <c r="G37" s="11" t="b">
        <v>0</v>
      </c>
      <c r="J37" s="2">
        <f>+IF(G37=TRUE,'Guía de uso'!$Y$9,0)</f>
        <v>0</v>
      </c>
      <c r="M37" s="10"/>
    </row>
    <row r="38" spans="1:25" ht="98.1" customHeight="1">
      <c r="A38" s="76" t="str">
        <f>+'Guía de uso'!$AA$10</f>
        <v>Nivel 4 = Gestionado</v>
      </c>
      <c r="B38" s="131" t="s">
        <v>209</v>
      </c>
      <c r="C38" s="131" t="s">
        <v>209</v>
      </c>
      <c r="D38" s="131" t="s">
        <v>210</v>
      </c>
      <c r="E38" s="131"/>
      <c r="F38" s="61" t="s">
        <v>211</v>
      </c>
      <c r="G38" s="11" t="b">
        <v>0</v>
      </c>
      <c r="J38" s="2">
        <f>+IF(G38=TRUE,'Guía de uso'!$Y$10,0)</f>
        <v>0</v>
      </c>
      <c r="M38" s="10"/>
    </row>
    <row r="39" spans="1:25" ht="9.6" customHeight="1"/>
    <row r="40" spans="1:25" ht="29.1" customHeight="1">
      <c r="A40" s="165" t="s">
        <v>13</v>
      </c>
      <c r="B40" s="166"/>
      <c r="C40" s="166"/>
      <c r="D40" s="166"/>
      <c r="E40" s="166"/>
      <c r="F40" s="166"/>
      <c r="G40" s="166"/>
      <c r="L40" s="7"/>
    </row>
    <row r="41" spans="1:25" ht="24" customHeight="1">
      <c r="A41" s="156"/>
      <c r="B41" s="157"/>
      <c r="C41" s="157"/>
      <c r="D41" s="157"/>
      <c r="E41" s="157"/>
      <c r="F41" s="157"/>
      <c r="G41" s="158"/>
    </row>
    <row r="42" spans="1:25" s="1" customFormat="1" ht="24" customHeight="1">
      <c r="A42" s="159"/>
      <c r="B42" s="160"/>
      <c r="C42" s="160"/>
      <c r="D42" s="160"/>
      <c r="E42" s="160"/>
      <c r="F42" s="160"/>
      <c r="G42" s="161"/>
      <c r="J42" s="2"/>
      <c r="M42" s="7"/>
      <c r="Y42" s="12"/>
    </row>
    <row r="43" spans="1:25" s="1" customFormat="1" ht="24" customHeight="1">
      <c r="A43" s="162"/>
      <c r="B43" s="163"/>
      <c r="C43" s="163"/>
      <c r="D43" s="163"/>
      <c r="E43" s="163"/>
      <c r="F43" s="163"/>
      <c r="G43" s="164"/>
      <c r="J43" s="2"/>
      <c r="M43" s="7"/>
      <c r="Y43" s="12"/>
    </row>
  </sheetData>
  <mergeCells count="52">
    <mergeCell ref="B26:C26"/>
    <mergeCell ref="D26:E26"/>
    <mergeCell ref="B23:C23"/>
    <mergeCell ref="D23:E23"/>
    <mergeCell ref="B24:C24"/>
    <mergeCell ref="D24:E24"/>
    <mergeCell ref="B25:C25"/>
    <mergeCell ref="D25:E25"/>
    <mergeCell ref="A41:G43"/>
    <mergeCell ref="D38:E38"/>
    <mergeCell ref="B34:C34"/>
    <mergeCell ref="D34:E34"/>
    <mergeCell ref="A40:G40"/>
    <mergeCell ref="B35:C35"/>
    <mergeCell ref="D35:E35"/>
    <mergeCell ref="B36:C36"/>
    <mergeCell ref="B37:C37"/>
    <mergeCell ref="D36:E36"/>
    <mergeCell ref="D37:E37"/>
    <mergeCell ref="B38:C38"/>
    <mergeCell ref="A11:G11"/>
    <mergeCell ref="A14:G14"/>
    <mergeCell ref="A13:G13"/>
    <mergeCell ref="A12:G12"/>
    <mergeCell ref="A33:F33"/>
    <mergeCell ref="A27:F27"/>
    <mergeCell ref="B30:C30"/>
    <mergeCell ref="B29:C29"/>
    <mergeCell ref="B31:C31"/>
    <mergeCell ref="B32:C32"/>
    <mergeCell ref="D29:E29"/>
    <mergeCell ref="D30:E30"/>
    <mergeCell ref="D31:E31"/>
    <mergeCell ref="D32:E32"/>
    <mergeCell ref="B28:C28"/>
    <mergeCell ref="D28:E28"/>
    <mergeCell ref="B20:C20"/>
    <mergeCell ref="D20:E20"/>
    <mergeCell ref="B22:C22"/>
    <mergeCell ref="D22:E22"/>
    <mergeCell ref="B1:G3"/>
    <mergeCell ref="A21:F21"/>
    <mergeCell ref="B18:C18"/>
    <mergeCell ref="D18:E18"/>
    <mergeCell ref="B19:C19"/>
    <mergeCell ref="D19:E19"/>
    <mergeCell ref="A15:F15"/>
    <mergeCell ref="B16:C16"/>
    <mergeCell ref="D16:E16"/>
    <mergeCell ref="B17:C17"/>
    <mergeCell ref="D17:E17"/>
    <mergeCell ref="A10:G10"/>
  </mergeCells>
  <conditionalFormatting sqref="A17:B20 D17:D20 F17:F20">
    <cfRule type="expression" dxfId="53" priority="7">
      <formula>$G17=TRUE</formula>
    </cfRule>
  </conditionalFormatting>
  <conditionalFormatting sqref="A23:B26 D23:D26 F23:F26">
    <cfRule type="expression" dxfId="52" priority="2">
      <formula>$G23=TRUE</formula>
    </cfRule>
  </conditionalFormatting>
  <conditionalFormatting sqref="A29:B32 D29:D32 F29:F32">
    <cfRule type="expression" dxfId="51" priority="1">
      <formula>$G29=TRUE</formula>
    </cfRule>
  </conditionalFormatting>
  <conditionalFormatting sqref="A35:B38 D35:D38 F35:F38">
    <cfRule type="expression" dxfId="50" priority="4">
      <formula>$G35=TRUE</formula>
    </cfRule>
  </conditionalFormatting>
  <conditionalFormatting sqref="G15">
    <cfRule type="containsText" dxfId="49" priority="130" operator="containsText" text="SELECCIONE SOLAMENTE UN NIVEL">
      <formula>NOT(ISERROR(SEARCH("SELECCIONE SOLAMENTE UN NIVEL",G15)))</formula>
    </cfRule>
  </conditionalFormatting>
  <conditionalFormatting sqref="G21">
    <cfRule type="containsText" dxfId="48" priority="16" operator="containsText" text="SELECCIONE SOLAMENTE UN NIVEL">
      <formula>NOT(ISERROR(SEARCH("SELECCIONE SOLAMENTE UN NIVEL",G21)))</formula>
    </cfRule>
  </conditionalFormatting>
  <conditionalFormatting sqref="G27">
    <cfRule type="containsText" dxfId="47" priority="15" operator="containsText" text="SELECCIONE SOLAMENTE UN NIVEL">
      <formula>NOT(ISERROR(SEARCH("SELECCIONE SOLAMENTE UN NIVEL",G27)))</formula>
    </cfRule>
  </conditionalFormatting>
  <conditionalFormatting sqref="G33">
    <cfRule type="containsText" dxfId="46" priority="14" operator="containsText" text="SELECCIONE SOLAMENTE UN NIVEL">
      <formula>NOT(ISERROR(SEARCH("SELECCIONE SOLAMENTE UN NIVEL",G33)))</formula>
    </cfRule>
  </conditionalFormatting>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Check Box 2">
              <controlPr defaultSize="0" autoFill="0" autoLine="0" autoPict="0">
                <anchor moveWithCells="1">
                  <from>
                    <xdr:col>6</xdr:col>
                    <xdr:colOff>676275</xdr:colOff>
                    <xdr:row>16</xdr:row>
                    <xdr:rowOff>342900</xdr:rowOff>
                  </from>
                  <to>
                    <xdr:col>6</xdr:col>
                    <xdr:colOff>1019175</xdr:colOff>
                    <xdr:row>16</xdr:row>
                    <xdr:rowOff>695325</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6</xdr:col>
                    <xdr:colOff>676275</xdr:colOff>
                    <xdr:row>17</xdr:row>
                    <xdr:rowOff>409575</xdr:rowOff>
                  </from>
                  <to>
                    <xdr:col>6</xdr:col>
                    <xdr:colOff>1019175</xdr:colOff>
                    <xdr:row>17</xdr:row>
                    <xdr:rowOff>752475</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6</xdr:col>
                    <xdr:colOff>676275</xdr:colOff>
                    <xdr:row>18</xdr:row>
                    <xdr:rowOff>409575</xdr:rowOff>
                  </from>
                  <to>
                    <xdr:col>6</xdr:col>
                    <xdr:colOff>1019175</xdr:colOff>
                    <xdr:row>18</xdr:row>
                    <xdr:rowOff>752475</xdr:rowOff>
                  </to>
                </anchor>
              </controlPr>
            </control>
          </mc:Choice>
        </mc:AlternateContent>
        <mc:AlternateContent xmlns:mc="http://schemas.openxmlformats.org/markup-compatibility/2006">
          <mc:Choice Requires="x14">
            <control shapeId="1029" r:id="rId7" name="Check Box 5">
              <controlPr defaultSize="0" autoFill="0" autoLine="0" autoPict="0">
                <anchor moveWithCells="1">
                  <from>
                    <xdr:col>6</xdr:col>
                    <xdr:colOff>676275</xdr:colOff>
                    <xdr:row>19</xdr:row>
                    <xdr:rowOff>381000</xdr:rowOff>
                  </from>
                  <to>
                    <xdr:col>6</xdr:col>
                    <xdr:colOff>1019175</xdr:colOff>
                    <xdr:row>19</xdr:row>
                    <xdr:rowOff>733425</xdr:rowOff>
                  </to>
                </anchor>
              </controlPr>
            </control>
          </mc:Choice>
        </mc:AlternateContent>
        <mc:AlternateContent xmlns:mc="http://schemas.openxmlformats.org/markup-compatibility/2006">
          <mc:Choice Requires="x14">
            <control shapeId="5" r:id="rId8" name="Check Box 26">
              <controlPr defaultSize="0" autoFill="0" autoLine="0" autoPict="0">
                <anchor moveWithCells="1">
                  <from>
                    <xdr:col>6</xdr:col>
                    <xdr:colOff>676275</xdr:colOff>
                    <xdr:row>34</xdr:row>
                    <xdr:rowOff>419100</xdr:rowOff>
                  </from>
                  <to>
                    <xdr:col>6</xdr:col>
                    <xdr:colOff>1019175</xdr:colOff>
                    <xdr:row>34</xdr:row>
                    <xdr:rowOff>762000</xdr:rowOff>
                  </to>
                </anchor>
              </controlPr>
            </control>
          </mc:Choice>
        </mc:AlternateContent>
        <mc:AlternateContent xmlns:mc="http://schemas.openxmlformats.org/markup-compatibility/2006">
          <mc:Choice Requires="x14">
            <control shapeId="1349" r:id="rId9" name="Check Box 27">
              <controlPr defaultSize="0" autoFill="0" autoLine="0" autoPict="0">
                <anchor moveWithCells="1">
                  <from>
                    <xdr:col>6</xdr:col>
                    <xdr:colOff>676275</xdr:colOff>
                    <xdr:row>35</xdr:row>
                    <xdr:rowOff>485775</xdr:rowOff>
                  </from>
                  <to>
                    <xdr:col>6</xdr:col>
                    <xdr:colOff>1019175</xdr:colOff>
                    <xdr:row>35</xdr:row>
                    <xdr:rowOff>828675</xdr:rowOff>
                  </to>
                </anchor>
              </controlPr>
            </control>
          </mc:Choice>
        </mc:AlternateContent>
        <mc:AlternateContent xmlns:mc="http://schemas.openxmlformats.org/markup-compatibility/2006">
          <mc:Choice Requires="x14">
            <control shapeId="1350" r:id="rId10" name="Check Box 28">
              <controlPr defaultSize="0" autoFill="0" autoLine="0" autoPict="0">
                <anchor moveWithCells="1">
                  <from>
                    <xdr:col>6</xdr:col>
                    <xdr:colOff>676275</xdr:colOff>
                    <xdr:row>36</xdr:row>
                    <xdr:rowOff>485775</xdr:rowOff>
                  </from>
                  <to>
                    <xdr:col>6</xdr:col>
                    <xdr:colOff>1019175</xdr:colOff>
                    <xdr:row>36</xdr:row>
                    <xdr:rowOff>828675</xdr:rowOff>
                  </to>
                </anchor>
              </controlPr>
            </control>
          </mc:Choice>
        </mc:AlternateContent>
        <mc:AlternateContent xmlns:mc="http://schemas.openxmlformats.org/markup-compatibility/2006">
          <mc:Choice Requires="x14">
            <control shapeId="1351" r:id="rId11" name="Check Box 29">
              <controlPr defaultSize="0" autoFill="0" autoLine="0" autoPict="0">
                <anchor moveWithCells="1">
                  <from>
                    <xdr:col>6</xdr:col>
                    <xdr:colOff>676275</xdr:colOff>
                    <xdr:row>37</xdr:row>
                    <xdr:rowOff>457200</xdr:rowOff>
                  </from>
                  <to>
                    <xdr:col>6</xdr:col>
                    <xdr:colOff>1019175</xdr:colOff>
                    <xdr:row>37</xdr:row>
                    <xdr:rowOff>809625</xdr:rowOff>
                  </to>
                </anchor>
              </controlPr>
            </control>
          </mc:Choice>
        </mc:AlternateContent>
        <mc:AlternateContent xmlns:mc="http://schemas.openxmlformats.org/markup-compatibility/2006">
          <mc:Choice Requires="x14">
            <control shapeId="1352" r:id="rId12" name="Check Box 32">
              <controlPr defaultSize="0" autoFill="0" autoLine="0" autoPict="0">
                <anchor moveWithCells="1">
                  <from>
                    <xdr:col>6</xdr:col>
                    <xdr:colOff>676275</xdr:colOff>
                    <xdr:row>28</xdr:row>
                    <xdr:rowOff>419100</xdr:rowOff>
                  </from>
                  <to>
                    <xdr:col>6</xdr:col>
                    <xdr:colOff>1019175</xdr:colOff>
                    <xdr:row>28</xdr:row>
                    <xdr:rowOff>762000</xdr:rowOff>
                  </to>
                </anchor>
              </controlPr>
            </control>
          </mc:Choice>
        </mc:AlternateContent>
        <mc:AlternateContent xmlns:mc="http://schemas.openxmlformats.org/markup-compatibility/2006">
          <mc:Choice Requires="x14">
            <control shapeId="1353" r:id="rId13" name="Check Box 33">
              <controlPr defaultSize="0" autoFill="0" autoLine="0" autoPict="0">
                <anchor moveWithCells="1">
                  <from>
                    <xdr:col>6</xdr:col>
                    <xdr:colOff>676275</xdr:colOff>
                    <xdr:row>29</xdr:row>
                    <xdr:rowOff>485775</xdr:rowOff>
                  </from>
                  <to>
                    <xdr:col>6</xdr:col>
                    <xdr:colOff>1019175</xdr:colOff>
                    <xdr:row>29</xdr:row>
                    <xdr:rowOff>828675</xdr:rowOff>
                  </to>
                </anchor>
              </controlPr>
            </control>
          </mc:Choice>
        </mc:AlternateContent>
        <mc:AlternateContent xmlns:mc="http://schemas.openxmlformats.org/markup-compatibility/2006">
          <mc:Choice Requires="x14">
            <control shapeId="1354" r:id="rId14" name="Check Box 34">
              <controlPr defaultSize="0" autoFill="0" autoLine="0" autoPict="0">
                <anchor moveWithCells="1">
                  <from>
                    <xdr:col>6</xdr:col>
                    <xdr:colOff>676275</xdr:colOff>
                    <xdr:row>30</xdr:row>
                    <xdr:rowOff>485775</xdr:rowOff>
                  </from>
                  <to>
                    <xdr:col>6</xdr:col>
                    <xdr:colOff>1019175</xdr:colOff>
                    <xdr:row>30</xdr:row>
                    <xdr:rowOff>828675</xdr:rowOff>
                  </to>
                </anchor>
              </controlPr>
            </control>
          </mc:Choice>
        </mc:AlternateContent>
        <mc:AlternateContent xmlns:mc="http://schemas.openxmlformats.org/markup-compatibility/2006">
          <mc:Choice Requires="x14">
            <control shapeId="1367" r:id="rId15" name="Check Box 35">
              <controlPr defaultSize="0" autoFill="0" autoLine="0" autoPict="0">
                <anchor moveWithCells="1">
                  <from>
                    <xdr:col>6</xdr:col>
                    <xdr:colOff>676275</xdr:colOff>
                    <xdr:row>31</xdr:row>
                    <xdr:rowOff>457200</xdr:rowOff>
                  </from>
                  <to>
                    <xdr:col>6</xdr:col>
                    <xdr:colOff>1019175</xdr:colOff>
                    <xdr:row>31</xdr:row>
                    <xdr:rowOff>809625</xdr:rowOff>
                  </to>
                </anchor>
              </controlPr>
            </control>
          </mc:Choice>
        </mc:AlternateContent>
        <mc:AlternateContent xmlns:mc="http://schemas.openxmlformats.org/markup-compatibility/2006">
          <mc:Choice Requires="x14">
            <control shapeId="1368" r:id="rId16" name="Check Box 38">
              <controlPr defaultSize="0" autoFill="0" autoLine="0" autoPict="0">
                <anchor moveWithCells="1">
                  <from>
                    <xdr:col>6</xdr:col>
                    <xdr:colOff>676275</xdr:colOff>
                    <xdr:row>22</xdr:row>
                    <xdr:rowOff>333375</xdr:rowOff>
                  </from>
                  <to>
                    <xdr:col>6</xdr:col>
                    <xdr:colOff>1019175</xdr:colOff>
                    <xdr:row>22</xdr:row>
                    <xdr:rowOff>676275</xdr:rowOff>
                  </to>
                </anchor>
              </controlPr>
            </control>
          </mc:Choice>
        </mc:AlternateContent>
        <mc:AlternateContent xmlns:mc="http://schemas.openxmlformats.org/markup-compatibility/2006">
          <mc:Choice Requires="x14">
            <control shapeId="1369" r:id="rId17" name="Check Box 39">
              <controlPr defaultSize="0" autoFill="0" autoLine="0" autoPict="0">
                <anchor moveWithCells="1">
                  <from>
                    <xdr:col>6</xdr:col>
                    <xdr:colOff>676275</xdr:colOff>
                    <xdr:row>23</xdr:row>
                    <xdr:rowOff>409575</xdr:rowOff>
                  </from>
                  <to>
                    <xdr:col>6</xdr:col>
                    <xdr:colOff>1019175</xdr:colOff>
                    <xdr:row>23</xdr:row>
                    <xdr:rowOff>752475</xdr:rowOff>
                  </to>
                </anchor>
              </controlPr>
            </control>
          </mc:Choice>
        </mc:AlternateContent>
        <mc:AlternateContent xmlns:mc="http://schemas.openxmlformats.org/markup-compatibility/2006">
          <mc:Choice Requires="x14">
            <control shapeId="1370" r:id="rId18" name="Check Box 40">
              <controlPr defaultSize="0" autoFill="0" autoLine="0" autoPict="0">
                <anchor moveWithCells="1">
                  <from>
                    <xdr:col>6</xdr:col>
                    <xdr:colOff>676275</xdr:colOff>
                    <xdr:row>24</xdr:row>
                    <xdr:rowOff>390525</xdr:rowOff>
                  </from>
                  <to>
                    <xdr:col>6</xdr:col>
                    <xdr:colOff>1019175</xdr:colOff>
                    <xdr:row>24</xdr:row>
                    <xdr:rowOff>733425</xdr:rowOff>
                  </to>
                </anchor>
              </controlPr>
            </control>
          </mc:Choice>
        </mc:AlternateContent>
        <mc:AlternateContent xmlns:mc="http://schemas.openxmlformats.org/markup-compatibility/2006">
          <mc:Choice Requires="x14">
            <control shapeId="1371" r:id="rId19" name="Check Box 41">
              <controlPr defaultSize="0" autoFill="0" autoLine="0" autoPict="0">
                <anchor moveWithCells="1">
                  <from>
                    <xdr:col>6</xdr:col>
                    <xdr:colOff>676275</xdr:colOff>
                    <xdr:row>25</xdr:row>
                    <xdr:rowOff>371475</xdr:rowOff>
                  </from>
                  <to>
                    <xdr:col>6</xdr:col>
                    <xdr:colOff>1019175</xdr:colOff>
                    <xdr:row>25</xdr:row>
                    <xdr:rowOff>714375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37"/>
  <sheetViews>
    <sheetView showGridLines="0" topLeftCell="A34" zoomScale="85" zoomScaleNormal="85" workbookViewId="0"/>
  </sheetViews>
  <sheetFormatPr baseColWidth="10" defaultColWidth="0" defaultRowHeight="22.35" customHeight="1"/>
  <cols>
    <col min="1" max="1" width="19.125" style="7" customWidth="1"/>
    <col min="2" max="3" width="19.625" style="7" customWidth="1"/>
    <col min="4" max="4" width="31.375" style="7" customWidth="1"/>
    <col min="5" max="5" width="28.125" style="7" customWidth="1"/>
    <col min="6" max="6" width="60.375" style="58" customWidth="1"/>
    <col min="7" max="7" width="22.375" style="7" customWidth="1"/>
    <col min="8" max="8" width="11.375" style="1" customWidth="1"/>
    <col min="9" max="9" width="11.375" style="1" hidden="1" customWidth="1"/>
    <col min="10" max="10" width="11.375" style="2" hidden="1" customWidth="1"/>
    <col min="11" max="12" width="11.375" style="1" hidden="1" customWidth="1"/>
    <col min="13" max="24" width="11.375" style="7" hidden="1" customWidth="1"/>
    <col min="25" max="25" width="11.375" style="12" hidden="1" customWidth="1"/>
    <col min="26" max="16384" width="11.375" style="7" hidden="1"/>
  </cols>
  <sheetData>
    <row r="1" spans="1:25" s="1" customFormat="1" ht="22.35" customHeight="1">
      <c r="A1" s="31"/>
      <c r="B1" s="149" t="s">
        <v>528</v>
      </c>
      <c r="C1" s="149"/>
      <c r="D1" s="149"/>
      <c r="E1" s="149"/>
      <c r="F1" s="149"/>
      <c r="G1" s="149"/>
      <c r="J1" s="2"/>
      <c r="Y1" s="12"/>
    </row>
    <row r="2" spans="1:25" s="1" customFormat="1" ht="14.25" customHeight="1">
      <c r="A2" s="31"/>
      <c r="B2" s="149"/>
      <c r="C2" s="149"/>
      <c r="D2" s="149"/>
      <c r="E2" s="149"/>
      <c r="F2" s="149"/>
      <c r="G2" s="149"/>
      <c r="J2" s="2"/>
      <c r="Y2" s="12"/>
    </row>
    <row r="3" spans="1:25" s="1" customFormat="1" ht="14.25" customHeight="1">
      <c r="A3" s="31"/>
      <c r="B3" s="149"/>
      <c r="C3" s="149"/>
      <c r="D3" s="149"/>
      <c r="E3" s="149"/>
      <c r="F3" s="149"/>
      <c r="G3" s="149"/>
      <c r="J3" s="2"/>
      <c r="Y3" s="12"/>
    </row>
    <row r="4" spans="1:25" customFormat="1" ht="3" customHeight="1">
      <c r="A4" s="81"/>
      <c r="B4" s="81"/>
      <c r="C4" s="81"/>
      <c r="D4" s="82"/>
      <c r="E4" s="81"/>
      <c r="F4" s="82"/>
      <c r="G4" s="83"/>
    </row>
    <row r="5" spans="1:25" s="1" customFormat="1" ht="15">
      <c r="A5" s="3" t="s">
        <v>0</v>
      </c>
      <c r="B5" s="3"/>
      <c r="C5" s="3" t="s">
        <v>1</v>
      </c>
      <c r="D5" s="4" t="s">
        <v>31</v>
      </c>
      <c r="E5" s="3" t="s">
        <v>32</v>
      </c>
      <c r="F5" s="44"/>
      <c r="G5" s="6" t="s">
        <v>2</v>
      </c>
      <c r="J5" s="2"/>
      <c r="Y5" s="12"/>
    </row>
    <row r="6" spans="1:25" s="1" customFormat="1" ht="15">
      <c r="A6" s="3" t="s">
        <v>3</v>
      </c>
      <c r="B6" s="3"/>
      <c r="C6" s="3"/>
      <c r="D6" s="4" t="s">
        <v>4</v>
      </c>
      <c r="E6" s="5"/>
      <c r="F6" s="44"/>
      <c r="G6" s="85" t="s">
        <v>5</v>
      </c>
      <c r="J6" s="2"/>
      <c r="Y6" s="12"/>
    </row>
    <row r="7" spans="1:25" s="1" customFormat="1" ht="15">
      <c r="A7" s="3" t="s">
        <v>6</v>
      </c>
      <c r="B7" s="3"/>
      <c r="C7" s="3"/>
      <c r="D7" s="4" t="s">
        <v>7</v>
      </c>
      <c r="E7" s="3"/>
      <c r="F7" s="32"/>
      <c r="G7" s="6"/>
      <c r="J7" s="2"/>
      <c r="Y7" s="12"/>
    </row>
    <row r="8" spans="1:25" ht="14.25"/>
    <row r="9" spans="1:25" ht="14.25"/>
    <row r="10" spans="1:25" ht="21.75" customHeight="1">
      <c r="A10" s="151" t="s">
        <v>8</v>
      </c>
      <c r="B10" s="152"/>
      <c r="C10" s="152"/>
      <c r="D10" s="152"/>
      <c r="E10" s="152"/>
      <c r="F10" s="152"/>
      <c r="G10" s="153"/>
    </row>
    <row r="11" spans="1:25" ht="78.599999999999994" customHeight="1">
      <c r="A11" s="131" t="s">
        <v>83</v>
      </c>
      <c r="B11" s="131"/>
      <c r="C11" s="131"/>
      <c r="D11" s="131"/>
      <c r="E11" s="131"/>
      <c r="F11" s="131"/>
      <c r="G11" s="131"/>
    </row>
    <row r="12" spans="1:25" ht="20.100000000000001" customHeight="1">
      <c r="A12" s="151" t="s">
        <v>16</v>
      </c>
      <c r="B12" s="152"/>
      <c r="C12" s="152"/>
      <c r="D12" s="152"/>
      <c r="E12" s="152"/>
      <c r="F12" s="152"/>
      <c r="G12" s="153"/>
    </row>
    <row r="13" spans="1:25" ht="74.099999999999994" customHeight="1">
      <c r="A13" s="155" t="s">
        <v>88</v>
      </c>
      <c r="B13" s="155"/>
      <c r="C13" s="155"/>
      <c r="D13" s="155"/>
      <c r="E13" s="155"/>
      <c r="F13" s="155"/>
      <c r="G13" s="155"/>
    </row>
    <row r="14" spans="1:25" ht="21.75" customHeight="1">
      <c r="A14" s="154" t="s">
        <v>90</v>
      </c>
      <c r="B14" s="154"/>
      <c r="C14" s="154"/>
      <c r="D14" s="154"/>
      <c r="E14" s="154"/>
      <c r="F14" s="154"/>
      <c r="G14" s="154"/>
    </row>
    <row r="15" spans="1:25" ht="53.1" customHeight="1">
      <c r="A15" s="150" t="s">
        <v>91</v>
      </c>
      <c r="B15" s="150"/>
      <c r="C15" s="150"/>
      <c r="D15" s="150"/>
      <c r="E15" s="150"/>
      <c r="F15" s="150"/>
      <c r="G15" s="9" t="str">
        <f>IF(COUNTIF(G17:G20,TRUE)&gt;1,"SELECCIONE SOLAMENTE UN NIVEL","Marque la opción que describa mejor la situación actual del liderazgo")</f>
        <v>Marque la opción que describa mejor la situación actual del liderazgo</v>
      </c>
      <c r="M15" s="10"/>
    </row>
    <row r="16" spans="1:25" ht="21.75" customHeight="1">
      <c r="A16" s="62" t="s">
        <v>9</v>
      </c>
      <c r="B16" s="148" t="s">
        <v>10</v>
      </c>
      <c r="C16" s="148"/>
      <c r="D16" s="148" t="s">
        <v>11</v>
      </c>
      <c r="E16" s="148"/>
      <c r="F16" s="63" t="s">
        <v>12</v>
      </c>
      <c r="G16" s="64"/>
    </row>
    <row r="17" spans="1:14" ht="98.1" customHeight="1">
      <c r="A17" s="76" t="str">
        <f>+'Guía de uso'!$AA$7</f>
        <v>Nivel 1 = Inicial</v>
      </c>
      <c r="B17" s="131" t="s">
        <v>213</v>
      </c>
      <c r="C17" s="131"/>
      <c r="D17" s="131" t="s">
        <v>214</v>
      </c>
      <c r="E17" s="131"/>
      <c r="F17" s="61" t="s">
        <v>215</v>
      </c>
      <c r="G17" s="11" t="b">
        <v>0</v>
      </c>
      <c r="J17" s="2">
        <f>+IF(G17=TRUE,'Guía de uso'!$Y$7,0)</f>
        <v>0</v>
      </c>
      <c r="M17" s="10"/>
    </row>
    <row r="18" spans="1:14" ht="98.1" customHeight="1">
      <c r="A18" s="76" t="str">
        <f>+'Guía de uso'!$AA$8</f>
        <v>Nivel 2 = Repetible</v>
      </c>
      <c r="B18" s="131" t="s">
        <v>217</v>
      </c>
      <c r="C18" s="131"/>
      <c r="D18" s="131" t="s">
        <v>218</v>
      </c>
      <c r="E18" s="131"/>
      <c r="F18" s="61" t="s">
        <v>219</v>
      </c>
      <c r="G18" s="11" t="b">
        <v>1</v>
      </c>
      <c r="J18" s="2">
        <f>+IF(G18=TRUE,'Guía de uso'!$Y$8,0)</f>
        <v>2</v>
      </c>
      <c r="M18" s="10"/>
    </row>
    <row r="19" spans="1:14" ht="98.1" customHeight="1">
      <c r="A19" s="76" t="str">
        <f>+'Guía de uso'!$AA$9</f>
        <v>Nivel 3 = Definido</v>
      </c>
      <c r="B19" s="131" t="s">
        <v>221</v>
      </c>
      <c r="C19" s="131"/>
      <c r="D19" s="131" t="s">
        <v>222</v>
      </c>
      <c r="E19" s="131"/>
      <c r="F19" s="61" t="s">
        <v>223</v>
      </c>
      <c r="G19" s="11" t="b">
        <v>0</v>
      </c>
      <c r="J19" s="2">
        <f>+IF(G19=TRUE,'Guía de uso'!$Y$9,0)</f>
        <v>0</v>
      </c>
      <c r="M19" s="10"/>
    </row>
    <row r="20" spans="1:14" ht="117" customHeight="1">
      <c r="A20" s="76" t="str">
        <f>+'Guía de uso'!$AA$10</f>
        <v>Nivel 4 = Gestionado</v>
      </c>
      <c r="B20" s="131" t="s">
        <v>225</v>
      </c>
      <c r="C20" s="131"/>
      <c r="D20" s="131" t="s">
        <v>226</v>
      </c>
      <c r="E20" s="131"/>
      <c r="F20" s="61" t="s">
        <v>227</v>
      </c>
      <c r="G20" s="11" t="b">
        <v>0</v>
      </c>
      <c r="J20" s="2">
        <f>+IF(G20=TRUE,'Guía de uso'!$Y$10,0)</f>
        <v>0</v>
      </c>
      <c r="M20" s="10"/>
    </row>
    <row r="21" spans="1:14" ht="67.5" customHeight="1">
      <c r="A21" s="150" t="s">
        <v>92</v>
      </c>
      <c r="B21" s="150"/>
      <c r="C21" s="150"/>
      <c r="D21" s="150"/>
      <c r="E21" s="150"/>
      <c r="F21" s="150"/>
      <c r="G21" s="9" t="str">
        <f>IF(COUNTIF(G23:G26,TRUE)&gt;1,"SELECCIONE SOLAMENTE UN NIVEL","Marque la opción que describa mejor la situación actual del liderazgo")</f>
        <v>Marque la opción que describa mejor la situación actual del liderazgo</v>
      </c>
      <c r="M21" s="10"/>
    </row>
    <row r="22" spans="1:14" ht="21.75" customHeight="1">
      <c r="A22" s="62" t="s">
        <v>9</v>
      </c>
      <c r="B22" s="148" t="s">
        <v>10</v>
      </c>
      <c r="C22" s="148"/>
      <c r="D22" s="148" t="s">
        <v>11</v>
      </c>
      <c r="E22" s="148"/>
      <c r="F22" s="63" t="s">
        <v>12</v>
      </c>
      <c r="G22" s="64"/>
    </row>
    <row r="23" spans="1:14" ht="98.1" customHeight="1">
      <c r="A23" s="76" t="str">
        <f>+'Guía de uso'!$AA$7</f>
        <v>Nivel 1 = Inicial</v>
      </c>
      <c r="B23" s="131" t="s">
        <v>229</v>
      </c>
      <c r="C23" s="131"/>
      <c r="D23" s="131" t="s">
        <v>230</v>
      </c>
      <c r="E23" s="131"/>
      <c r="F23" s="61" t="s">
        <v>231</v>
      </c>
      <c r="G23" s="11" t="b">
        <v>0</v>
      </c>
      <c r="J23" s="2">
        <f>+IF(G23=TRUE,'Guía de uso'!$Y$7,0)</f>
        <v>0</v>
      </c>
      <c r="N23" s="59"/>
    </row>
    <row r="24" spans="1:14" ht="98.1" customHeight="1">
      <c r="A24" s="76" t="str">
        <f>+'Guía de uso'!$AA$8</f>
        <v>Nivel 2 = Repetible</v>
      </c>
      <c r="B24" s="131" t="s">
        <v>233</v>
      </c>
      <c r="C24" s="131"/>
      <c r="D24" s="131" t="s">
        <v>234</v>
      </c>
      <c r="E24" s="131"/>
      <c r="F24" s="61" t="s">
        <v>235</v>
      </c>
      <c r="G24" s="11" t="b">
        <v>0</v>
      </c>
      <c r="J24" s="2">
        <f>+IF(G24=TRUE,'Guía de uso'!$Y$8,0)</f>
        <v>0</v>
      </c>
      <c r="N24" s="59"/>
    </row>
    <row r="25" spans="1:14" ht="98.1" customHeight="1">
      <c r="A25" s="76" t="str">
        <f>+'Guía de uso'!$AA$9</f>
        <v>Nivel 3 = Definido</v>
      </c>
      <c r="B25" s="131" t="s">
        <v>237</v>
      </c>
      <c r="C25" s="131"/>
      <c r="D25" s="131" t="s">
        <v>238</v>
      </c>
      <c r="E25" s="131"/>
      <c r="F25" s="61" t="s">
        <v>239</v>
      </c>
      <c r="G25" s="11" t="b">
        <v>1</v>
      </c>
      <c r="J25" s="2">
        <f>+IF(G25=TRUE,'Guía de uso'!$Y$9,0)</f>
        <v>3</v>
      </c>
      <c r="N25" s="59"/>
    </row>
    <row r="26" spans="1:14" ht="114" customHeight="1">
      <c r="A26" s="76" t="str">
        <f>+'Guía de uso'!$AA$10</f>
        <v>Nivel 4 = Gestionado</v>
      </c>
      <c r="B26" s="131" t="s">
        <v>241</v>
      </c>
      <c r="C26" s="131"/>
      <c r="D26" s="131" t="s">
        <v>242</v>
      </c>
      <c r="E26" s="131"/>
      <c r="F26" s="61" t="s">
        <v>243</v>
      </c>
      <c r="G26" s="11" t="b">
        <v>0</v>
      </c>
      <c r="J26" s="2">
        <f>+IF(G26=TRUE,'Guía de uso'!$Y$10,0)</f>
        <v>0</v>
      </c>
      <c r="N26" s="59"/>
    </row>
    <row r="27" spans="1:14" ht="75" customHeight="1">
      <c r="A27" s="150" t="s">
        <v>93</v>
      </c>
      <c r="B27" s="150"/>
      <c r="C27" s="150"/>
      <c r="D27" s="150"/>
      <c r="E27" s="150"/>
      <c r="F27" s="150"/>
      <c r="G27" s="9" t="str">
        <f>IF(COUNTIF(G29:G32,TRUE)&gt;1,"SELECCIONE SOLAMENTE UN NIVEL","Marque la opción que describa mejor la situación actual del liderazgo")</f>
        <v>Marque la opción que describa mejor la situación actual del liderazgo</v>
      </c>
      <c r="M27" s="10"/>
    </row>
    <row r="28" spans="1:14" ht="21.75" customHeight="1">
      <c r="A28" s="62" t="s">
        <v>9</v>
      </c>
      <c r="B28" s="148" t="s">
        <v>10</v>
      </c>
      <c r="C28" s="148"/>
      <c r="D28" s="148" t="s">
        <v>11</v>
      </c>
      <c r="E28" s="148"/>
      <c r="F28" s="63" t="s">
        <v>12</v>
      </c>
      <c r="G28" s="64"/>
    </row>
    <row r="29" spans="1:14" ht="98.1" customHeight="1">
      <c r="A29" s="76" t="str">
        <f>+'Guía de uso'!$AA$7</f>
        <v>Nivel 1 = Inicial</v>
      </c>
      <c r="B29" s="131" t="s">
        <v>245</v>
      </c>
      <c r="C29" s="131"/>
      <c r="D29" s="131" t="s">
        <v>246</v>
      </c>
      <c r="E29" s="131"/>
      <c r="F29" s="61" t="s">
        <v>247</v>
      </c>
      <c r="G29" s="11" t="b">
        <v>0</v>
      </c>
      <c r="I29" s="50"/>
      <c r="J29" s="2">
        <f>+IF(G29=TRUE,'Guía de uso'!$Y$7,0)</f>
        <v>0</v>
      </c>
      <c r="M29" s="10"/>
    </row>
    <row r="30" spans="1:14" ht="98.1" customHeight="1">
      <c r="A30" s="76" t="str">
        <f>+'Guía de uso'!$AA$8</f>
        <v>Nivel 2 = Repetible</v>
      </c>
      <c r="B30" s="131" t="s">
        <v>249</v>
      </c>
      <c r="C30" s="131"/>
      <c r="D30" s="131" t="s">
        <v>250</v>
      </c>
      <c r="E30" s="131"/>
      <c r="F30" s="61" t="s">
        <v>251</v>
      </c>
      <c r="G30" s="11" t="b">
        <v>1</v>
      </c>
      <c r="I30" s="50"/>
      <c r="J30" s="2">
        <f>+IF(G30=TRUE,'Guía de uso'!$Y$8,0)</f>
        <v>2</v>
      </c>
      <c r="M30" s="10"/>
    </row>
    <row r="31" spans="1:14" ht="114.6" customHeight="1">
      <c r="A31" s="76" t="str">
        <f>+'Guía de uso'!$AA$9</f>
        <v>Nivel 3 = Definido</v>
      </c>
      <c r="B31" s="131" t="s">
        <v>253</v>
      </c>
      <c r="C31" s="131"/>
      <c r="D31" s="131" t="s">
        <v>254</v>
      </c>
      <c r="E31" s="131"/>
      <c r="F31" s="61" t="s">
        <v>255</v>
      </c>
      <c r="G31" s="11" t="b">
        <v>0</v>
      </c>
      <c r="I31" s="50"/>
      <c r="J31" s="2">
        <f>+IF(G31=TRUE,'Guía de uso'!$Y$9,0)</f>
        <v>0</v>
      </c>
      <c r="M31" s="10"/>
    </row>
    <row r="32" spans="1:14" ht="114.6" customHeight="1">
      <c r="A32" s="76" t="str">
        <f>+'Guía de uso'!$AA$10</f>
        <v>Nivel 4 = Gestionado</v>
      </c>
      <c r="B32" s="131" t="s">
        <v>257</v>
      </c>
      <c r="C32" s="131"/>
      <c r="D32" s="131" t="s">
        <v>258</v>
      </c>
      <c r="E32" s="131"/>
      <c r="F32" s="61" t="s">
        <v>259</v>
      </c>
      <c r="G32" s="11" t="b">
        <v>0</v>
      </c>
      <c r="I32" s="50"/>
      <c r="J32" s="2">
        <f>+IF(G32=TRUE,'Guía de uso'!$Y$10,0)</f>
        <v>0</v>
      </c>
      <c r="M32" s="10"/>
    </row>
    <row r="33" spans="1:25" ht="9.6" customHeight="1"/>
    <row r="34" spans="1:25" ht="29.1" customHeight="1">
      <c r="A34" s="165" t="s">
        <v>13</v>
      </c>
      <c r="B34" s="166"/>
      <c r="C34" s="166"/>
      <c r="D34" s="166"/>
      <c r="E34" s="166"/>
      <c r="F34" s="166"/>
      <c r="G34" s="166"/>
      <c r="L34" s="7"/>
    </row>
    <row r="35" spans="1:25" ht="24" customHeight="1">
      <c r="A35" s="156"/>
      <c r="B35" s="157"/>
      <c r="C35" s="157"/>
      <c r="D35" s="157"/>
      <c r="E35" s="157"/>
      <c r="F35" s="157"/>
      <c r="G35" s="158"/>
    </row>
    <row r="36" spans="1:25" s="1" customFormat="1" ht="24" customHeight="1">
      <c r="A36" s="159"/>
      <c r="B36" s="160"/>
      <c r="C36" s="160"/>
      <c r="D36" s="160"/>
      <c r="E36" s="160"/>
      <c r="F36" s="160"/>
      <c r="G36" s="161"/>
      <c r="J36" s="2"/>
      <c r="M36" s="7"/>
      <c r="Y36" s="12"/>
    </row>
    <row r="37" spans="1:25" s="1" customFormat="1" ht="24" customHeight="1">
      <c r="A37" s="162"/>
      <c r="B37" s="163"/>
      <c r="C37" s="163"/>
      <c r="D37" s="163"/>
      <c r="E37" s="163"/>
      <c r="F37" s="163"/>
      <c r="G37" s="164"/>
      <c r="J37" s="2"/>
      <c r="M37" s="7"/>
      <c r="Y37" s="12"/>
    </row>
  </sheetData>
  <mergeCells count="41">
    <mergeCell ref="B29:C29"/>
    <mergeCell ref="D29:E29"/>
    <mergeCell ref="D30:E30"/>
    <mergeCell ref="B1:G3"/>
    <mergeCell ref="A14:G14"/>
    <mergeCell ref="A10:G10"/>
    <mergeCell ref="A11:G11"/>
    <mergeCell ref="A12:G12"/>
    <mergeCell ref="A13:G13"/>
    <mergeCell ref="B22:C22"/>
    <mergeCell ref="D22:E22"/>
    <mergeCell ref="A15:F15"/>
    <mergeCell ref="B16:C16"/>
    <mergeCell ref="D16:E16"/>
    <mergeCell ref="B19:C19"/>
    <mergeCell ref="D19:E19"/>
    <mergeCell ref="B20:C20"/>
    <mergeCell ref="D20:E20"/>
    <mergeCell ref="A21:F21"/>
    <mergeCell ref="B17:C17"/>
    <mergeCell ref="D17:E17"/>
    <mergeCell ref="B18:C18"/>
    <mergeCell ref="D18:E18"/>
    <mergeCell ref="D31:E31"/>
    <mergeCell ref="D32:E32"/>
    <mergeCell ref="A34:G34"/>
    <mergeCell ref="A35:G37"/>
    <mergeCell ref="B30:C30"/>
    <mergeCell ref="B31:C31"/>
    <mergeCell ref="B32:C32"/>
    <mergeCell ref="B23:C23"/>
    <mergeCell ref="D23:E23"/>
    <mergeCell ref="B24:C24"/>
    <mergeCell ref="D24:E24"/>
    <mergeCell ref="B25:C25"/>
    <mergeCell ref="D25:E25"/>
    <mergeCell ref="A27:F27"/>
    <mergeCell ref="B28:C28"/>
    <mergeCell ref="D28:E28"/>
    <mergeCell ref="B26:C26"/>
    <mergeCell ref="D26:E26"/>
  </mergeCells>
  <conditionalFormatting sqref="A17:B20 D17:D20 F17:F20">
    <cfRule type="expression" dxfId="45" priority="3">
      <formula>$G17=TRUE</formula>
    </cfRule>
  </conditionalFormatting>
  <conditionalFormatting sqref="A23:B26 D23:D26 F23:F26">
    <cfRule type="expression" dxfId="44" priority="2">
      <formula>$G23=TRUE</formula>
    </cfRule>
  </conditionalFormatting>
  <conditionalFormatting sqref="A29:B32 D29:D32 F29:F32">
    <cfRule type="expression" dxfId="43" priority="1">
      <formula>$G29=TRUE</formula>
    </cfRule>
  </conditionalFormatting>
  <conditionalFormatting sqref="G15">
    <cfRule type="containsText" dxfId="42" priority="35" operator="containsText" text="SELECCIONE SOLAMENTE UN NIVEL">
      <formula>NOT(ISERROR(SEARCH("SELECCIONE SOLAMENTE UN NIVEL",G15)))</formula>
    </cfRule>
  </conditionalFormatting>
  <conditionalFormatting sqref="G21">
    <cfRule type="containsText" dxfId="41" priority="11" operator="containsText" text="SELECCIONE SOLAMENTE UN NIVEL">
      <formula>NOT(ISERROR(SEARCH("SELECCIONE SOLAMENTE UN NIVEL",G21)))</formula>
    </cfRule>
  </conditionalFormatting>
  <conditionalFormatting sqref="G27">
    <cfRule type="containsText" dxfId="40" priority="10" operator="containsText" text="SELECCIONE SOLAMENTE UN NIVEL">
      <formula>NOT(ISERROR(SEARCH("SELECCIONE SOLAMENTE UN NIVEL",G27)))</formula>
    </cfRule>
  </conditionalFormatting>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6</xdr:col>
                    <xdr:colOff>676275</xdr:colOff>
                    <xdr:row>16</xdr:row>
                    <xdr:rowOff>342900</xdr:rowOff>
                  </from>
                  <to>
                    <xdr:col>6</xdr:col>
                    <xdr:colOff>1019175</xdr:colOff>
                    <xdr:row>16</xdr:row>
                    <xdr:rowOff>695325</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6</xdr:col>
                    <xdr:colOff>676275</xdr:colOff>
                    <xdr:row>17</xdr:row>
                    <xdr:rowOff>409575</xdr:rowOff>
                  </from>
                  <to>
                    <xdr:col>6</xdr:col>
                    <xdr:colOff>1019175</xdr:colOff>
                    <xdr:row>17</xdr:row>
                    <xdr:rowOff>752475</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6</xdr:col>
                    <xdr:colOff>676275</xdr:colOff>
                    <xdr:row>18</xdr:row>
                    <xdr:rowOff>409575</xdr:rowOff>
                  </from>
                  <to>
                    <xdr:col>6</xdr:col>
                    <xdr:colOff>1019175</xdr:colOff>
                    <xdr:row>18</xdr:row>
                    <xdr:rowOff>752475</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676275</xdr:colOff>
                    <xdr:row>19</xdr:row>
                    <xdr:rowOff>381000</xdr:rowOff>
                  </from>
                  <to>
                    <xdr:col>6</xdr:col>
                    <xdr:colOff>1019175</xdr:colOff>
                    <xdr:row>19</xdr:row>
                    <xdr:rowOff>733425</xdr:rowOff>
                  </to>
                </anchor>
              </controlPr>
            </control>
          </mc:Choice>
        </mc:AlternateContent>
        <mc:AlternateContent xmlns:mc="http://schemas.openxmlformats.org/markup-compatibility/2006">
          <mc:Choice Requires="x14">
            <control shapeId="5" r:id="rId8" name="Check Box 13">
              <controlPr defaultSize="0" autoFill="0" autoLine="0" autoPict="0">
                <anchor moveWithCells="1">
                  <from>
                    <xdr:col>6</xdr:col>
                    <xdr:colOff>676275</xdr:colOff>
                    <xdr:row>28</xdr:row>
                    <xdr:rowOff>419100</xdr:rowOff>
                  </from>
                  <to>
                    <xdr:col>6</xdr:col>
                    <xdr:colOff>1019175</xdr:colOff>
                    <xdr:row>28</xdr:row>
                    <xdr:rowOff>762000</xdr:rowOff>
                  </to>
                </anchor>
              </controlPr>
            </control>
          </mc:Choice>
        </mc:AlternateContent>
        <mc:AlternateContent xmlns:mc="http://schemas.openxmlformats.org/markup-compatibility/2006">
          <mc:Choice Requires="x14">
            <control shapeId="8515" r:id="rId9" name="Check Box 14">
              <controlPr defaultSize="0" autoFill="0" autoLine="0" autoPict="0">
                <anchor moveWithCells="1">
                  <from>
                    <xdr:col>6</xdr:col>
                    <xdr:colOff>676275</xdr:colOff>
                    <xdr:row>29</xdr:row>
                    <xdr:rowOff>485775</xdr:rowOff>
                  </from>
                  <to>
                    <xdr:col>6</xdr:col>
                    <xdr:colOff>1019175</xdr:colOff>
                    <xdr:row>29</xdr:row>
                    <xdr:rowOff>828675</xdr:rowOff>
                  </to>
                </anchor>
              </controlPr>
            </control>
          </mc:Choice>
        </mc:AlternateContent>
        <mc:AlternateContent xmlns:mc="http://schemas.openxmlformats.org/markup-compatibility/2006">
          <mc:Choice Requires="x14">
            <control shapeId="8516" r:id="rId10" name="Check Box 15">
              <controlPr defaultSize="0" autoFill="0" autoLine="0" autoPict="0">
                <anchor moveWithCells="1">
                  <from>
                    <xdr:col>6</xdr:col>
                    <xdr:colOff>676275</xdr:colOff>
                    <xdr:row>30</xdr:row>
                    <xdr:rowOff>485775</xdr:rowOff>
                  </from>
                  <to>
                    <xdr:col>6</xdr:col>
                    <xdr:colOff>1019175</xdr:colOff>
                    <xdr:row>30</xdr:row>
                    <xdr:rowOff>828675</xdr:rowOff>
                  </to>
                </anchor>
              </controlPr>
            </control>
          </mc:Choice>
        </mc:AlternateContent>
        <mc:AlternateContent xmlns:mc="http://schemas.openxmlformats.org/markup-compatibility/2006">
          <mc:Choice Requires="x14">
            <control shapeId="8517" r:id="rId11" name="Check Box 16">
              <controlPr defaultSize="0" autoFill="0" autoLine="0" autoPict="0">
                <anchor moveWithCells="1">
                  <from>
                    <xdr:col>6</xdr:col>
                    <xdr:colOff>676275</xdr:colOff>
                    <xdr:row>31</xdr:row>
                    <xdr:rowOff>457200</xdr:rowOff>
                  </from>
                  <to>
                    <xdr:col>6</xdr:col>
                    <xdr:colOff>1019175</xdr:colOff>
                    <xdr:row>31</xdr:row>
                    <xdr:rowOff>809625</xdr:rowOff>
                  </to>
                </anchor>
              </controlPr>
            </control>
          </mc:Choice>
        </mc:AlternateContent>
        <mc:AlternateContent xmlns:mc="http://schemas.openxmlformats.org/markup-compatibility/2006">
          <mc:Choice Requires="x14">
            <control shapeId="8518" r:id="rId12" name="Check Box 17">
              <controlPr defaultSize="0" autoFill="0" autoLine="0" autoPict="0">
                <anchor moveWithCells="1">
                  <from>
                    <xdr:col>6</xdr:col>
                    <xdr:colOff>676275</xdr:colOff>
                    <xdr:row>22</xdr:row>
                    <xdr:rowOff>333375</xdr:rowOff>
                  </from>
                  <to>
                    <xdr:col>6</xdr:col>
                    <xdr:colOff>1019175</xdr:colOff>
                    <xdr:row>22</xdr:row>
                    <xdr:rowOff>676275</xdr:rowOff>
                  </to>
                </anchor>
              </controlPr>
            </control>
          </mc:Choice>
        </mc:AlternateContent>
        <mc:AlternateContent xmlns:mc="http://schemas.openxmlformats.org/markup-compatibility/2006">
          <mc:Choice Requires="x14">
            <control shapeId="8519" r:id="rId13" name="Check Box 18">
              <controlPr defaultSize="0" autoFill="0" autoLine="0" autoPict="0">
                <anchor moveWithCells="1">
                  <from>
                    <xdr:col>6</xdr:col>
                    <xdr:colOff>676275</xdr:colOff>
                    <xdr:row>23</xdr:row>
                    <xdr:rowOff>409575</xdr:rowOff>
                  </from>
                  <to>
                    <xdr:col>6</xdr:col>
                    <xdr:colOff>1019175</xdr:colOff>
                    <xdr:row>23</xdr:row>
                    <xdr:rowOff>752475</xdr:rowOff>
                  </to>
                </anchor>
              </controlPr>
            </control>
          </mc:Choice>
        </mc:AlternateContent>
        <mc:AlternateContent xmlns:mc="http://schemas.openxmlformats.org/markup-compatibility/2006">
          <mc:Choice Requires="x14">
            <control shapeId="8520" r:id="rId14" name="Check Box 19">
              <controlPr defaultSize="0" autoFill="0" autoLine="0" autoPict="0">
                <anchor moveWithCells="1">
                  <from>
                    <xdr:col>6</xdr:col>
                    <xdr:colOff>676275</xdr:colOff>
                    <xdr:row>24</xdr:row>
                    <xdr:rowOff>390525</xdr:rowOff>
                  </from>
                  <to>
                    <xdr:col>6</xdr:col>
                    <xdr:colOff>1019175</xdr:colOff>
                    <xdr:row>24</xdr:row>
                    <xdr:rowOff>733425</xdr:rowOff>
                  </to>
                </anchor>
              </controlPr>
            </control>
          </mc:Choice>
        </mc:AlternateContent>
        <mc:AlternateContent xmlns:mc="http://schemas.openxmlformats.org/markup-compatibility/2006">
          <mc:Choice Requires="x14">
            <control shapeId="8521" r:id="rId15" name="Check Box 20">
              <controlPr defaultSize="0" autoFill="0" autoLine="0" autoPict="0">
                <anchor moveWithCells="1">
                  <from>
                    <xdr:col>6</xdr:col>
                    <xdr:colOff>676275</xdr:colOff>
                    <xdr:row>25</xdr:row>
                    <xdr:rowOff>371475</xdr:rowOff>
                  </from>
                  <to>
                    <xdr:col>6</xdr:col>
                    <xdr:colOff>1019175</xdr:colOff>
                    <xdr:row>25</xdr:row>
                    <xdr:rowOff>714375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31"/>
  <sheetViews>
    <sheetView showGridLines="0" topLeftCell="A13" zoomScale="85" zoomScaleNormal="85" workbookViewId="0">
      <selection activeCell="A21" sqref="A21:F21"/>
    </sheetView>
  </sheetViews>
  <sheetFormatPr baseColWidth="10" defaultColWidth="0" defaultRowHeight="22.35" customHeight="1"/>
  <cols>
    <col min="1" max="1" width="19.125" style="7" customWidth="1"/>
    <col min="2" max="3" width="19.625" style="7" customWidth="1"/>
    <col min="4" max="4" width="31.375" style="7" customWidth="1"/>
    <col min="5" max="5" width="28.125" style="7" customWidth="1"/>
    <col min="6" max="6" width="60.375" style="58" customWidth="1"/>
    <col min="7" max="7" width="22.375" style="7" customWidth="1"/>
    <col min="8" max="8" width="11.375" style="1" customWidth="1"/>
    <col min="9" max="9" width="11.375" style="1" hidden="1" customWidth="1"/>
    <col min="10" max="10" width="11.375" style="2" hidden="1" customWidth="1"/>
    <col min="11" max="12" width="11.375" style="1" hidden="1" customWidth="1"/>
    <col min="13" max="24" width="11.375" style="7" hidden="1" customWidth="1"/>
    <col min="25" max="25" width="11.375" style="12" hidden="1" customWidth="1"/>
    <col min="26" max="16384" width="11.375" style="7" hidden="1"/>
  </cols>
  <sheetData>
    <row r="1" spans="1:25" s="1" customFormat="1" ht="22.35" customHeight="1">
      <c r="A1" s="31"/>
      <c r="B1" s="149" t="s">
        <v>528</v>
      </c>
      <c r="C1" s="149"/>
      <c r="D1" s="149"/>
      <c r="E1" s="149"/>
      <c r="F1" s="149"/>
      <c r="G1" s="149"/>
      <c r="J1" s="2"/>
      <c r="Y1" s="12"/>
    </row>
    <row r="2" spans="1:25" s="1" customFormat="1" ht="14.25" customHeight="1">
      <c r="A2" s="31"/>
      <c r="B2" s="149"/>
      <c r="C2" s="149"/>
      <c r="D2" s="149"/>
      <c r="E2" s="149"/>
      <c r="F2" s="149"/>
      <c r="G2" s="149"/>
      <c r="J2" s="2"/>
      <c r="Y2" s="12"/>
    </row>
    <row r="3" spans="1:25" s="1" customFormat="1" ht="14.25" customHeight="1">
      <c r="A3" s="31"/>
      <c r="B3" s="149"/>
      <c r="C3" s="149"/>
      <c r="D3" s="149"/>
      <c r="E3" s="149"/>
      <c r="F3" s="149"/>
      <c r="G3" s="149"/>
      <c r="J3" s="2"/>
      <c r="Y3" s="12"/>
    </row>
    <row r="4" spans="1:25" customFormat="1" ht="3" customHeight="1">
      <c r="A4" s="81"/>
      <c r="B4" s="81"/>
      <c r="C4" s="81"/>
      <c r="D4" s="82"/>
      <c r="E4" s="81"/>
      <c r="F4" s="82"/>
      <c r="G4" s="83"/>
    </row>
    <row r="5" spans="1:25" s="1" customFormat="1" ht="15">
      <c r="A5" s="3" t="s">
        <v>0</v>
      </c>
      <c r="B5" s="3"/>
      <c r="C5" s="3" t="s">
        <v>1</v>
      </c>
      <c r="D5" s="4" t="s">
        <v>31</v>
      </c>
      <c r="E5" s="3" t="s">
        <v>32</v>
      </c>
      <c r="F5" s="44"/>
      <c r="G5" s="6" t="s">
        <v>2</v>
      </c>
      <c r="J5" s="2"/>
      <c r="Y5" s="12"/>
    </row>
    <row r="6" spans="1:25" s="1" customFormat="1" ht="15">
      <c r="A6" s="3" t="s">
        <v>3</v>
      </c>
      <c r="B6" s="3"/>
      <c r="C6" s="3"/>
      <c r="D6" s="4" t="s">
        <v>4</v>
      </c>
      <c r="E6" s="5"/>
      <c r="F6" s="44"/>
      <c r="G6" s="85" t="s">
        <v>5</v>
      </c>
      <c r="J6" s="2"/>
      <c r="Y6" s="12"/>
    </row>
    <row r="7" spans="1:25" s="1" customFormat="1" ht="15">
      <c r="A7" s="3" t="s">
        <v>6</v>
      </c>
      <c r="B7" s="3"/>
      <c r="C7" s="3"/>
      <c r="D7" s="4" t="s">
        <v>7</v>
      </c>
      <c r="E7" s="3"/>
      <c r="F7" s="32"/>
      <c r="G7" s="6"/>
      <c r="J7" s="2"/>
      <c r="Y7" s="12"/>
    </row>
    <row r="8" spans="1:25" ht="14.25"/>
    <row r="9" spans="1:25" ht="14.25"/>
    <row r="10" spans="1:25" ht="21.75" customHeight="1">
      <c r="A10" s="151" t="s">
        <v>8</v>
      </c>
      <c r="B10" s="152"/>
      <c r="C10" s="152"/>
      <c r="D10" s="152"/>
      <c r="E10" s="152"/>
      <c r="F10" s="152"/>
      <c r="G10" s="153"/>
    </row>
    <row r="11" spans="1:25" ht="78.599999999999994" customHeight="1">
      <c r="A11" s="131" t="s">
        <v>83</v>
      </c>
      <c r="B11" s="131"/>
      <c r="C11" s="131"/>
      <c r="D11" s="131"/>
      <c r="E11" s="131"/>
      <c r="F11" s="131"/>
      <c r="G11" s="131"/>
    </row>
    <row r="12" spans="1:25" ht="20.100000000000001" customHeight="1">
      <c r="A12" s="151" t="s">
        <v>16</v>
      </c>
      <c r="B12" s="152"/>
      <c r="C12" s="152"/>
      <c r="D12" s="152"/>
      <c r="E12" s="152"/>
      <c r="F12" s="152"/>
      <c r="G12" s="153"/>
    </row>
    <row r="13" spans="1:25" ht="74.099999999999994" customHeight="1">
      <c r="A13" s="155" t="s">
        <v>95</v>
      </c>
      <c r="B13" s="155"/>
      <c r="C13" s="155"/>
      <c r="D13" s="155"/>
      <c r="E13" s="155"/>
      <c r="F13" s="155"/>
      <c r="G13" s="155"/>
    </row>
    <row r="14" spans="1:25" ht="21.75" customHeight="1">
      <c r="A14" s="154" t="s">
        <v>94</v>
      </c>
      <c r="B14" s="154"/>
      <c r="C14" s="154"/>
      <c r="D14" s="154"/>
      <c r="E14" s="154"/>
      <c r="F14" s="154"/>
      <c r="G14" s="154"/>
    </row>
    <row r="15" spans="1:25" ht="59.45" customHeight="1">
      <c r="A15" s="150" t="s">
        <v>96</v>
      </c>
      <c r="B15" s="150"/>
      <c r="C15" s="150"/>
      <c r="D15" s="150"/>
      <c r="E15" s="150"/>
      <c r="F15" s="150"/>
      <c r="G15" s="9" t="str">
        <f>IF(COUNTIF(G17:G20,TRUE)&gt;1,"SELECCIONE SOLAMENTE UN NIVEL","Marque la opción que describa mejor la situación actual del proceso de planificación")</f>
        <v>Marque la opción que describa mejor la situación actual del proceso de planificación</v>
      </c>
      <c r="M15" s="10"/>
    </row>
    <row r="16" spans="1:25" ht="21.75" customHeight="1">
      <c r="A16" s="62" t="s">
        <v>9</v>
      </c>
      <c r="B16" s="148" t="s">
        <v>10</v>
      </c>
      <c r="C16" s="148"/>
      <c r="D16" s="148" t="s">
        <v>11</v>
      </c>
      <c r="E16" s="148"/>
      <c r="F16" s="63" t="s">
        <v>12</v>
      </c>
      <c r="G16" s="64"/>
    </row>
    <row r="17" spans="1:25" ht="110.45" customHeight="1">
      <c r="A17" s="76" t="str">
        <f>+'Guía de uso'!$AA$7</f>
        <v>Nivel 1 = Inicial</v>
      </c>
      <c r="B17" s="131" t="s">
        <v>261</v>
      </c>
      <c r="C17" s="131"/>
      <c r="D17" s="131" t="s">
        <v>262</v>
      </c>
      <c r="E17" s="131"/>
      <c r="F17" s="61" t="s">
        <v>263</v>
      </c>
      <c r="G17" s="11" t="b">
        <v>0</v>
      </c>
      <c r="J17" s="2">
        <f>+IF(G17=TRUE,'Guía de uso'!$Y$7,0)</f>
        <v>0</v>
      </c>
      <c r="M17" s="10"/>
    </row>
    <row r="18" spans="1:25" ht="110.45" customHeight="1">
      <c r="A18" s="76" t="str">
        <f>+'Guía de uso'!$AA$8</f>
        <v>Nivel 2 = Repetible</v>
      </c>
      <c r="B18" s="131" t="s">
        <v>265</v>
      </c>
      <c r="C18" s="131"/>
      <c r="D18" s="131" t="s">
        <v>266</v>
      </c>
      <c r="E18" s="131"/>
      <c r="F18" s="61" t="s">
        <v>267</v>
      </c>
      <c r="G18" s="11" t="b">
        <v>1</v>
      </c>
      <c r="J18" s="2">
        <f>+IF(G18=TRUE,'Guía de uso'!$Y$8,0)</f>
        <v>2</v>
      </c>
      <c r="M18" s="10"/>
    </row>
    <row r="19" spans="1:25" ht="110.45" customHeight="1">
      <c r="A19" s="76" t="str">
        <f>+'Guía de uso'!$AA$9</f>
        <v>Nivel 3 = Definido</v>
      </c>
      <c r="B19" s="131" t="s">
        <v>269</v>
      </c>
      <c r="C19" s="131"/>
      <c r="D19" s="131" t="s">
        <v>270</v>
      </c>
      <c r="E19" s="131"/>
      <c r="F19" s="61" t="s">
        <v>271</v>
      </c>
      <c r="G19" s="11" t="b">
        <v>0</v>
      </c>
      <c r="J19" s="2">
        <f>+IF(G19=TRUE,'Guía de uso'!$Y$9,0)</f>
        <v>0</v>
      </c>
      <c r="M19" s="10"/>
    </row>
    <row r="20" spans="1:25" ht="110.45" customHeight="1">
      <c r="A20" s="76" t="str">
        <f>+'Guía de uso'!$AA$10</f>
        <v>Nivel 4 = Gestionado</v>
      </c>
      <c r="B20" s="131" t="s">
        <v>273</v>
      </c>
      <c r="C20" s="131"/>
      <c r="D20" s="131" t="s">
        <v>274</v>
      </c>
      <c r="E20" s="131"/>
      <c r="F20" s="61" t="s">
        <v>275</v>
      </c>
      <c r="G20" s="11" t="b">
        <v>0</v>
      </c>
      <c r="J20" s="2">
        <f>+IF(G20=TRUE,'Guía de uso'!$Y$10,0)</f>
        <v>0</v>
      </c>
      <c r="M20" s="10"/>
    </row>
    <row r="21" spans="1:25" ht="66.599999999999994" customHeight="1">
      <c r="A21" s="150" t="s">
        <v>97</v>
      </c>
      <c r="B21" s="150"/>
      <c r="C21" s="150"/>
      <c r="D21" s="150"/>
      <c r="E21" s="150"/>
      <c r="F21" s="150"/>
      <c r="G21" s="9" t="str">
        <f>IF(COUNTIF(G23:G26,TRUE)&gt;1,"SELECCIONE SOLAMENTE UN NIVEL","Marque la opción que describa mejor la situación actual del proceso de planificación")</f>
        <v>Marque la opción que describa mejor la situación actual del proceso de planificación</v>
      </c>
      <c r="M21" s="10"/>
    </row>
    <row r="22" spans="1:25" ht="21.75" customHeight="1">
      <c r="A22" s="62" t="s">
        <v>9</v>
      </c>
      <c r="B22" s="148" t="s">
        <v>10</v>
      </c>
      <c r="C22" s="148"/>
      <c r="D22" s="148" t="s">
        <v>11</v>
      </c>
      <c r="E22" s="148"/>
      <c r="F22" s="63" t="s">
        <v>12</v>
      </c>
      <c r="G22" s="64"/>
    </row>
    <row r="23" spans="1:25" ht="98.1" customHeight="1">
      <c r="A23" s="76" t="str">
        <f>+'Guía de uso'!$AA$7</f>
        <v>Nivel 1 = Inicial</v>
      </c>
      <c r="B23" s="131" t="s">
        <v>285</v>
      </c>
      <c r="C23" s="131"/>
      <c r="D23" s="131" t="s">
        <v>286</v>
      </c>
      <c r="E23" s="131"/>
      <c r="F23" s="61" t="s">
        <v>287</v>
      </c>
      <c r="G23" s="11" t="b">
        <v>0</v>
      </c>
      <c r="J23" s="2">
        <f>+IF(G23=TRUE,'Guía de uso'!$Y$7,0)</f>
        <v>0</v>
      </c>
      <c r="M23" s="10"/>
    </row>
    <row r="24" spans="1:25" ht="98.1" customHeight="1">
      <c r="A24" s="76" t="str">
        <f>+'Guía de uso'!$AA$8</f>
        <v>Nivel 2 = Repetible</v>
      </c>
      <c r="B24" s="131" t="s">
        <v>289</v>
      </c>
      <c r="C24" s="131"/>
      <c r="D24" s="131" t="s">
        <v>290</v>
      </c>
      <c r="E24" s="131"/>
      <c r="F24" s="61" t="s">
        <v>291</v>
      </c>
      <c r="G24" s="11" t="b">
        <v>1</v>
      </c>
      <c r="J24" s="2">
        <f>+IF(G24=TRUE,'Guía de uso'!$Y$8,0)</f>
        <v>2</v>
      </c>
      <c r="M24" s="10"/>
    </row>
    <row r="25" spans="1:25" ht="98.1" customHeight="1">
      <c r="A25" s="76" t="str">
        <f>+'Guía de uso'!$AA$9</f>
        <v>Nivel 3 = Definido</v>
      </c>
      <c r="B25" s="131" t="s">
        <v>293</v>
      </c>
      <c r="C25" s="131"/>
      <c r="D25" s="131" t="s">
        <v>294</v>
      </c>
      <c r="E25" s="131"/>
      <c r="F25" s="61" t="s">
        <v>295</v>
      </c>
      <c r="G25" s="11" t="b">
        <v>0</v>
      </c>
      <c r="J25" s="2">
        <f>+IF(G25=TRUE,'Guía de uso'!$Y$9,0)</f>
        <v>0</v>
      </c>
      <c r="M25" s="10"/>
    </row>
    <row r="26" spans="1:25" ht="121.35" customHeight="1">
      <c r="A26" s="76" t="str">
        <f>+'Guía de uso'!$AA$10</f>
        <v>Nivel 4 = Gestionado</v>
      </c>
      <c r="B26" s="131" t="s">
        <v>297</v>
      </c>
      <c r="C26" s="131"/>
      <c r="D26" s="131" t="s">
        <v>298</v>
      </c>
      <c r="E26" s="131"/>
      <c r="F26" s="61" t="s">
        <v>299</v>
      </c>
      <c r="G26" s="11" t="b">
        <v>0</v>
      </c>
      <c r="J26" s="2">
        <f>+IF(G26=TRUE,'Guía de uso'!$Y$10,0)</f>
        <v>0</v>
      </c>
      <c r="M26" s="10"/>
    </row>
    <row r="27" spans="1:25" ht="9.6" customHeight="1"/>
    <row r="28" spans="1:25" ht="29.1" customHeight="1">
      <c r="A28" s="165" t="s">
        <v>13</v>
      </c>
      <c r="B28" s="166"/>
      <c r="C28" s="166"/>
      <c r="D28" s="166"/>
      <c r="E28" s="166"/>
      <c r="F28" s="166"/>
      <c r="G28" s="166"/>
      <c r="L28" s="7"/>
    </row>
    <row r="29" spans="1:25" ht="24" customHeight="1">
      <c r="A29" s="156"/>
      <c r="B29" s="157"/>
      <c r="C29" s="157"/>
      <c r="D29" s="157"/>
      <c r="E29" s="157"/>
      <c r="F29" s="157"/>
      <c r="G29" s="158"/>
    </row>
    <row r="30" spans="1:25" s="1" customFormat="1" ht="24" customHeight="1">
      <c r="A30" s="159"/>
      <c r="B30" s="160"/>
      <c r="C30" s="160"/>
      <c r="D30" s="160"/>
      <c r="E30" s="160"/>
      <c r="F30" s="160"/>
      <c r="G30" s="161"/>
      <c r="J30" s="2"/>
      <c r="M30" s="7"/>
      <c r="Y30" s="12"/>
    </row>
    <row r="31" spans="1:25" s="1" customFormat="1" ht="24" customHeight="1">
      <c r="A31" s="162"/>
      <c r="B31" s="163"/>
      <c r="C31" s="163"/>
      <c r="D31" s="163"/>
      <c r="E31" s="163"/>
      <c r="F31" s="163"/>
      <c r="G31" s="164"/>
      <c r="J31" s="2"/>
      <c r="M31" s="7"/>
      <c r="Y31" s="12"/>
    </row>
  </sheetData>
  <mergeCells count="30">
    <mergeCell ref="B1:G3"/>
    <mergeCell ref="A14:G14"/>
    <mergeCell ref="A15:F15"/>
    <mergeCell ref="B16:C16"/>
    <mergeCell ref="D16:E16"/>
    <mergeCell ref="B20:C20"/>
    <mergeCell ref="D20:E20"/>
    <mergeCell ref="A10:G10"/>
    <mergeCell ref="A11:G11"/>
    <mergeCell ref="A12:G12"/>
    <mergeCell ref="A13:G13"/>
    <mergeCell ref="B17:C17"/>
    <mergeCell ref="D17:E17"/>
    <mergeCell ref="B18:C18"/>
    <mergeCell ref="D18:E18"/>
    <mergeCell ref="B19:C19"/>
    <mergeCell ref="D19:E19"/>
    <mergeCell ref="A28:G28"/>
    <mergeCell ref="A29:G31"/>
    <mergeCell ref="A21:F21"/>
    <mergeCell ref="B22:C22"/>
    <mergeCell ref="D22:E22"/>
    <mergeCell ref="B23:C23"/>
    <mergeCell ref="D23:E23"/>
    <mergeCell ref="B24:C24"/>
    <mergeCell ref="D24:E24"/>
    <mergeCell ref="B25:C25"/>
    <mergeCell ref="D25:E25"/>
    <mergeCell ref="B26:C26"/>
    <mergeCell ref="D26:E26"/>
  </mergeCells>
  <conditionalFormatting sqref="A17:B20 D17:D20 F17:F20">
    <cfRule type="expression" dxfId="39" priority="1">
      <formula>$G17=TRUE</formula>
    </cfRule>
  </conditionalFormatting>
  <conditionalFormatting sqref="A23:B26 D23:D26 F23:F26">
    <cfRule type="expression" dxfId="38" priority="4">
      <formula>$G23=TRUE</formula>
    </cfRule>
  </conditionalFormatting>
  <conditionalFormatting sqref="G15">
    <cfRule type="containsText" dxfId="37" priority="38" operator="containsText" text="SELECCIONE SOLAMENTE UN NIVEL">
      <formula>NOT(ISERROR(SEARCH("SELECCIONE SOLAMENTE UN NIVEL",G15)))</formula>
    </cfRule>
  </conditionalFormatting>
  <conditionalFormatting sqref="G21">
    <cfRule type="containsText" dxfId="36" priority="12" operator="containsText" text="SELECCIONE SOLAMENTE UN NIVEL">
      <formula>NOT(ISERROR(SEARCH("SELECCIONE SOLAMENTE UN NIVEL",G21)))</formula>
    </cfRule>
  </conditionalFormatting>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Check Box 1">
              <controlPr defaultSize="0" autoFill="0" autoLine="0" autoPict="0">
                <anchor moveWithCells="1">
                  <from>
                    <xdr:col>6</xdr:col>
                    <xdr:colOff>676275</xdr:colOff>
                    <xdr:row>16</xdr:row>
                    <xdr:rowOff>342900</xdr:rowOff>
                  </from>
                  <to>
                    <xdr:col>6</xdr:col>
                    <xdr:colOff>1019175</xdr:colOff>
                    <xdr:row>16</xdr:row>
                    <xdr:rowOff>695325</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6</xdr:col>
                    <xdr:colOff>676275</xdr:colOff>
                    <xdr:row>17</xdr:row>
                    <xdr:rowOff>409575</xdr:rowOff>
                  </from>
                  <to>
                    <xdr:col>6</xdr:col>
                    <xdr:colOff>1019175</xdr:colOff>
                    <xdr:row>17</xdr:row>
                    <xdr:rowOff>752475</xdr:rowOff>
                  </to>
                </anchor>
              </controlPr>
            </control>
          </mc:Choice>
        </mc:AlternateContent>
        <mc:AlternateContent xmlns:mc="http://schemas.openxmlformats.org/markup-compatibility/2006">
          <mc:Choice Requires="x14">
            <control shapeId="10243" r:id="rId6" name="Check Box 3">
              <controlPr defaultSize="0" autoFill="0" autoLine="0" autoPict="0">
                <anchor moveWithCells="1">
                  <from>
                    <xdr:col>6</xdr:col>
                    <xdr:colOff>676275</xdr:colOff>
                    <xdr:row>18</xdr:row>
                    <xdr:rowOff>409575</xdr:rowOff>
                  </from>
                  <to>
                    <xdr:col>6</xdr:col>
                    <xdr:colOff>1019175</xdr:colOff>
                    <xdr:row>18</xdr:row>
                    <xdr:rowOff>752475</xdr:rowOff>
                  </to>
                </anchor>
              </controlPr>
            </control>
          </mc:Choice>
        </mc:AlternateContent>
        <mc:AlternateContent xmlns:mc="http://schemas.openxmlformats.org/markup-compatibility/2006">
          <mc:Choice Requires="x14">
            <control shapeId="10244" r:id="rId7" name="Check Box 4">
              <controlPr defaultSize="0" autoFill="0" autoLine="0" autoPict="0">
                <anchor moveWithCells="1">
                  <from>
                    <xdr:col>6</xdr:col>
                    <xdr:colOff>676275</xdr:colOff>
                    <xdr:row>19</xdr:row>
                    <xdr:rowOff>381000</xdr:rowOff>
                  </from>
                  <to>
                    <xdr:col>6</xdr:col>
                    <xdr:colOff>1019175</xdr:colOff>
                    <xdr:row>19</xdr:row>
                    <xdr:rowOff>733425</xdr:rowOff>
                  </to>
                </anchor>
              </controlPr>
            </control>
          </mc:Choice>
        </mc:AlternateContent>
        <mc:AlternateContent xmlns:mc="http://schemas.openxmlformats.org/markup-compatibility/2006">
          <mc:Choice Requires="x14">
            <control shapeId="5" r:id="rId8" name="Check Box 9">
              <controlPr defaultSize="0" autoFill="0" autoLine="0" autoPict="0">
                <anchor moveWithCells="1">
                  <from>
                    <xdr:col>6</xdr:col>
                    <xdr:colOff>676275</xdr:colOff>
                    <xdr:row>22</xdr:row>
                    <xdr:rowOff>419100</xdr:rowOff>
                  </from>
                  <to>
                    <xdr:col>6</xdr:col>
                    <xdr:colOff>1019175</xdr:colOff>
                    <xdr:row>22</xdr:row>
                    <xdr:rowOff>762000</xdr:rowOff>
                  </to>
                </anchor>
              </controlPr>
            </control>
          </mc:Choice>
        </mc:AlternateContent>
        <mc:AlternateContent xmlns:mc="http://schemas.openxmlformats.org/markup-compatibility/2006">
          <mc:Choice Requires="x14">
            <control shapeId="10477" r:id="rId9" name="Check Box 10">
              <controlPr defaultSize="0" autoFill="0" autoLine="0" autoPict="0">
                <anchor moveWithCells="1">
                  <from>
                    <xdr:col>6</xdr:col>
                    <xdr:colOff>676275</xdr:colOff>
                    <xdr:row>23</xdr:row>
                    <xdr:rowOff>485775</xdr:rowOff>
                  </from>
                  <to>
                    <xdr:col>6</xdr:col>
                    <xdr:colOff>1019175</xdr:colOff>
                    <xdr:row>23</xdr:row>
                    <xdr:rowOff>828675</xdr:rowOff>
                  </to>
                </anchor>
              </controlPr>
            </control>
          </mc:Choice>
        </mc:AlternateContent>
        <mc:AlternateContent xmlns:mc="http://schemas.openxmlformats.org/markup-compatibility/2006">
          <mc:Choice Requires="x14">
            <control shapeId="10478" r:id="rId10" name="Check Box 11">
              <controlPr defaultSize="0" autoFill="0" autoLine="0" autoPict="0">
                <anchor moveWithCells="1">
                  <from>
                    <xdr:col>6</xdr:col>
                    <xdr:colOff>676275</xdr:colOff>
                    <xdr:row>24</xdr:row>
                    <xdr:rowOff>485775</xdr:rowOff>
                  </from>
                  <to>
                    <xdr:col>6</xdr:col>
                    <xdr:colOff>1019175</xdr:colOff>
                    <xdr:row>24</xdr:row>
                    <xdr:rowOff>828675</xdr:rowOff>
                  </to>
                </anchor>
              </controlPr>
            </control>
          </mc:Choice>
        </mc:AlternateContent>
        <mc:AlternateContent xmlns:mc="http://schemas.openxmlformats.org/markup-compatibility/2006">
          <mc:Choice Requires="x14">
            <control shapeId="10479" r:id="rId11" name="Check Box 12">
              <controlPr defaultSize="0" autoFill="0" autoLine="0" autoPict="0">
                <anchor moveWithCells="1">
                  <from>
                    <xdr:col>6</xdr:col>
                    <xdr:colOff>676275</xdr:colOff>
                    <xdr:row>25</xdr:row>
                    <xdr:rowOff>457200</xdr:rowOff>
                  </from>
                  <to>
                    <xdr:col>6</xdr:col>
                    <xdr:colOff>1019175</xdr:colOff>
                    <xdr:row>25</xdr:row>
                    <xdr:rowOff>809625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49"/>
  <sheetViews>
    <sheetView showGridLines="0" topLeftCell="A40" zoomScaleNormal="100" workbookViewId="0"/>
  </sheetViews>
  <sheetFormatPr baseColWidth="10" defaultColWidth="0" defaultRowHeight="22.35" customHeight="1"/>
  <cols>
    <col min="1" max="1" width="19.125" style="7" customWidth="1"/>
    <col min="2" max="3" width="19.625" style="7" customWidth="1"/>
    <col min="4" max="4" width="31.375" style="7" customWidth="1"/>
    <col min="5" max="5" width="28.125" style="7" customWidth="1"/>
    <col min="6" max="6" width="60.375" style="58" customWidth="1"/>
    <col min="7" max="7" width="22.375" style="7" customWidth="1"/>
    <col min="8" max="8" width="11.375" style="1" customWidth="1"/>
    <col min="9" max="9" width="11.375" style="1" hidden="1" customWidth="1"/>
    <col min="10" max="10" width="11.375" style="2" hidden="1" customWidth="1"/>
    <col min="11" max="12" width="11.375" style="1" hidden="1" customWidth="1"/>
    <col min="13" max="24" width="11.375" style="7" hidden="1" customWidth="1"/>
    <col min="25" max="25" width="11.375" style="12" hidden="1" customWidth="1"/>
    <col min="26" max="16384" width="11.375" style="7" hidden="1"/>
  </cols>
  <sheetData>
    <row r="1" spans="1:25" s="1" customFormat="1" ht="22.35" customHeight="1">
      <c r="A1" s="31"/>
      <c r="B1" s="149" t="s">
        <v>528</v>
      </c>
      <c r="C1" s="149"/>
      <c r="D1" s="149"/>
      <c r="E1" s="149"/>
      <c r="F1" s="149"/>
      <c r="G1" s="149"/>
      <c r="J1" s="2"/>
      <c r="Y1" s="12"/>
    </row>
    <row r="2" spans="1:25" s="1" customFormat="1" ht="14.25" customHeight="1">
      <c r="A2" s="31"/>
      <c r="B2" s="149"/>
      <c r="C2" s="149"/>
      <c r="D2" s="149"/>
      <c r="E2" s="149"/>
      <c r="F2" s="149"/>
      <c r="G2" s="149"/>
      <c r="J2" s="2"/>
      <c r="Y2" s="12"/>
    </row>
    <row r="3" spans="1:25" s="1" customFormat="1" ht="14.25" customHeight="1">
      <c r="A3" s="31"/>
      <c r="B3" s="149"/>
      <c r="C3" s="149"/>
      <c r="D3" s="149"/>
      <c r="E3" s="149"/>
      <c r="F3" s="149"/>
      <c r="G3" s="149"/>
      <c r="J3" s="2"/>
      <c r="Y3" s="12"/>
    </row>
    <row r="4" spans="1:25" customFormat="1" ht="3" customHeight="1">
      <c r="A4" s="81"/>
      <c r="B4" s="81"/>
      <c r="C4" s="81"/>
      <c r="D4" s="82"/>
      <c r="E4" s="81"/>
      <c r="F4" s="82"/>
      <c r="G4" s="83"/>
    </row>
    <row r="5" spans="1:25" s="1" customFormat="1" ht="15">
      <c r="A5" s="3" t="s">
        <v>0</v>
      </c>
      <c r="B5" s="3"/>
      <c r="C5" s="3" t="s">
        <v>1</v>
      </c>
      <c r="D5" s="4" t="s">
        <v>31</v>
      </c>
      <c r="E5" s="3" t="s">
        <v>32</v>
      </c>
      <c r="F5" s="44"/>
      <c r="G5" s="6" t="s">
        <v>2</v>
      </c>
      <c r="J5" s="2"/>
      <c r="Y5" s="12"/>
    </row>
    <row r="6" spans="1:25" s="1" customFormat="1" ht="15">
      <c r="A6" s="3" t="s">
        <v>3</v>
      </c>
      <c r="B6" s="3"/>
      <c r="C6" s="3"/>
      <c r="D6" s="4" t="s">
        <v>4</v>
      </c>
      <c r="E6" s="5"/>
      <c r="F6" s="44"/>
      <c r="G6" s="85" t="s">
        <v>5</v>
      </c>
      <c r="J6" s="2"/>
      <c r="Y6" s="12"/>
    </row>
    <row r="7" spans="1:25" s="1" customFormat="1" ht="15">
      <c r="A7" s="3" t="s">
        <v>6</v>
      </c>
      <c r="B7" s="3"/>
      <c r="C7" s="3"/>
      <c r="D7" s="4" t="s">
        <v>7</v>
      </c>
      <c r="E7" s="3"/>
      <c r="F7" s="32"/>
      <c r="G7" s="6"/>
      <c r="J7" s="2"/>
      <c r="Y7" s="12"/>
    </row>
    <row r="8" spans="1:25" ht="14.25"/>
    <row r="9" spans="1:25" ht="14.25"/>
    <row r="10" spans="1:25" ht="21.75" customHeight="1">
      <c r="A10" s="151" t="s">
        <v>8</v>
      </c>
      <c r="B10" s="152"/>
      <c r="C10" s="152"/>
      <c r="D10" s="152"/>
      <c r="E10" s="152"/>
      <c r="F10" s="152"/>
      <c r="G10" s="153"/>
    </row>
    <row r="11" spans="1:25" ht="78.599999999999994" customHeight="1">
      <c r="A11" s="131" t="s">
        <v>83</v>
      </c>
      <c r="B11" s="131"/>
      <c r="C11" s="131"/>
      <c r="D11" s="131"/>
      <c r="E11" s="131"/>
      <c r="F11" s="131"/>
      <c r="G11" s="131"/>
    </row>
    <row r="12" spans="1:25" ht="20.100000000000001" customHeight="1">
      <c r="A12" s="151" t="s">
        <v>16</v>
      </c>
      <c r="B12" s="152"/>
      <c r="C12" s="152"/>
      <c r="D12" s="152"/>
      <c r="E12" s="152"/>
      <c r="F12" s="152"/>
      <c r="G12" s="153"/>
    </row>
    <row r="13" spans="1:25" ht="74.099999999999994" customHeight="1">
      <c r="A13" s="155" t="s">
        <v>98</v>
      </c>
      <c r="B13" s="155"/>
      <c r="C13" s="155"/>
      <c r="D13" s="155"/>
      <c r="E13" s="155"/>
      <c r="F13" s="155"/>
      <c r="G13" s="155"/>
    </row>
    <row r="14" spans="1:25" ht="21.75" customHeight="1">
      <c r="A14" s="154" t="s">
        <v>99</v>
      </c>
      <c r="B14" s="154"/>
      <c r="C14" s="154"/>
      <c r="D14" s="154"/>
      <c r="E14" s="154"/>
      <c r="F14" s="154"/>
      <c r="G14" s="154"/>
    </row>
    <row r="15" spans="1:25" ht="53.1" customHeight="1">
      <c r="A15" s="150" t="s">
        <v>100</v>
      </c>
      <c r="B15" s="150"/>
      <c r="C15" s="150"/>
      <c r="D15" s="150"/>
      <c r="E15" s="150"/>
      <c r="F15" s="150"/>
      <c r="G15" s="9" t="str">
        <f>IF(COUNTIF(G17:G20,TRUE)&gt;1,"SELECCIONE SOLAMENTE UN NIVEL","Marque la opción que describa mejor la situación actual del soporte ")</f>
        <v xml:space="preserve">Marque la opción que describa mejor la situación actual del soporte </v>
      </c>
      <c r="M15" s="10"/>
    </row>
    <row r="16" spans="1:25" ht="21.75" customHeight="1">
      <c r="A16" s="62" t="s">
        <v>9</v>
      </c>
      <c r="B16" s="148" t="s">
        <v>10</v>
      </c>
      <c r="C16" s="148"/>
      <c r="D16" s="148" t="s">
        <v>11</v>
      </c>
      <c r="E16" s="148"/>
      <c r="F16" s="63" t="s">
        <v>12</v>
      </c>
      <c r="G16" s="64"/>
    </row>
    <row r="17" spans="1:14" ht="98.1" customHeight="1">
      <c r="A17" s="76" t="str">
        <f>+'Guía de uso'!$AA$7</f>
        <v>Nivel 1 = Inicial</v>
      </c>
      <c r="B17" s="131" t="s">
        <v>301</v>
      </c>
      <c r="C17" s="131"/>
      <c r="D17" s="131" t="s">
        <v>302</v>
      </c>
      <c r="E17" s="131"/>
      <c r="F17" s="61" t="s">
        <v>303</v>
      </c>
      <c r="G17" s="11" t="b">
        <v>0</v>
      </c>
      <c r="J17" s="2">
        <f>+IF(G17=TRUE,'Guía de uso'!$Y$7,0)</f>
        <v>0</v>
      </c>
      <c r="M17" s="10"/>
    </row>
    <row r="18" spans="1:14" ht="98.1" customHeight="1">
      <c r="A18" s="76" t="str">
        <f>+'Guía de uso'!$AA$8</f>
        <v>Nivel 2 = Repetible</v>
      </c>
      <c r="B18" s="131" t="s">
        <v>305</v>
      </c>
      <c r="C18" s="131"/>
      <c r="D18" s="131" t="s">
        <v>306</v>
      </c>
      <c r="E18" s="131"/>
      <c r="F18" s="61" t="s">
        <v>307</v>
      </c>
      <c r="G18" s="11" t="b">
        <v>0</v>
      </c>
      <c r="J18" s="2">
        <f>+IF(G18=TRUE,'Guía de uso'!$Y$8,0)</f>
        <v>0</v>
      </c>
      <c r="M18" s="10"/>
    </row>
    <row r="19" spans="1:14" ht="98.1" customHeight="1">
      <c r="A19" s="76" t="str">
        <f>+'Guía de uso'!$AA$9</f>
        <v>Nivel 3 = Definido</v>
      </c>
      <c r="B19" s="131" t="s">
        <v>309</v>
      </c>
      <c r="C19" s="131"/>
      <c r="D19" s="131" t="s">
        <v>310</v>
      </c>
      <c r="E19" s="131"/>
      <c r="F19" s="61" t="s">
        <v>311</v>
      </c>
      <c r="G19" s="11" t="b">
        <v>1</v>
      </c>
      <c r="J19" s="2">
        <f>+IF(G19=TRUE,'Guía de uso'!$Y$9,0)</f>
        <v>3</v>
      </c>
      <c r="M19" s="10"/>
    </row>
    <row r="20" spans="1:14" ht="117" customHeight="1">
      <c r="A20" s="76" t="str">
        <f>+'Guía de uso'!$AA$10</f>
        <v>Nivel 4 = Gestionado</v>
      </c>
      <c r="B20" s="131" t="s">
        <v>313</v>
      </c>
      <c r="C20" s="131"/>
      <c r="D20" s="131" t="s">
        <v>314</v>
      </c>
      <c r="E20" s="131"/>
      <c r="F20" s="61" t="s">
        <v>315</v>
      </c>
      <c r="G20" s="11" t="b">
        <v>0</v>
      </c>
      <c r="J20" s="2">
        <f>+IF(G20=TRUE,'Guía de uso'!$Y$10,0)</f>
        <v>0</v>
      </c>
      <c r="M20" s="10"/>
    </row>
    <row r="21" spans="1:14" ht="67.5" customHeight="1">
      <c r="A21" s="150" t="s">
        <v>180</v>
      </c>
      <c r="B21" s="150"/>
      <c r="C21" s="150"/>
      <c r="D21" s="150"/>
      <c r="E21" s="150"/>
      <c r="F21" s="150"/>
      <c r="G21" s="9" t="str">
        <f>IF(COUNTIF(G23:G26,TRUE)&gt;1,"SELECCIONE SOLAMENTE UN NIVEL","Marque la opción que describa mejor la situación actual del soporte ")</f>
        <v xml:space="preserve">Marque la opción que describa mejor la situación actual del soporte </v>
      </c>
      <c r="M21" s="10"/>
    </row>
    <row r="22" spans="1:14" ht="21.75" customHeight="1">
      <c r="A22" s="62" t="s">
        <v>9</v>
      </c>
      <c r="B22" s="148" t="s">
        <v>10</v>
      </c>
      <c r="C22" s="148"/>
      <c r="D22" s="148" t="s">
        <v>11</v>
      </c>
      <c r="E22" s="148"/>
      <c r="F22" s="63" t="s">
        <v>12</v>
      </c>
      <c r="G22" s="64"/>
    </row>
    <row r="23" spans="1:14" ht="98.1" customHeight="1">
      <c r="A23" s="76" t="str">
        <f>+'Guía de uso'!$AA$7</f>
        <v>Nivel 1 = Inicial</v>
      </c>
      <c r="B23" s="131" t="s">
        <v>317</v>
      </c>
      <c r="C23" s="131"/>
      <c r="D23" s="131" t="s">
        <v>318</v>
      </c>
      <c r="E23" s="131"/>
      <c r="F23" s="61" t="s">
        <v>319</v>
      </c>
      <c r="G23" s="11" t="b">
        <v>0</v>
      </c>
      <c r="J23" s="2">
        <f>+IF(G23=TRUE,'Guía de uso'!$Y$7,0)</f>
        <v>0</v>
      </c>
      <c r="N23" s="59"/>
    </row>
    <row r="24" spans="1:14" ht="98.1" customHeight="1">
      <c r="A24" s="76" t="str">
        <f>+'Guía de uso'!$AA$8</f>
        <v>Nivel 2 = Repetible</v>
      </c>
      <c r="B24" s="131" t="s">
        <v>321</v>
      </c>
      <c r="C24" s="131"/>
      <c r="D24" s="131" t="s">
        <v>322</v>
      </c>
      <c r="E24" s="131"/>
      <c r="F24" s="61" t="s">
        <v>323</v>
      </c>
      <c r="G24" s="11" t="b">
        <v>0</v>
      </c>
      <c r="J24" s="2">
        <f>+IF(G24=TRUE,'Guía de uso'!$Y$8,0)</f>
        <v>0</v>
      </c>
      <c r="N24" s="59"/>
    </row>
    <row r="25" spans="1:14" ht="98.1" customHeight="1">
      <c r="A25" s="76" t="str">
        <f>+'Guía de uso'!$AA$9</f>
        <v>Nivel 3 = Definido</v>
      </c>
      <c r="B25" s="131" t="s">
        <v>325</v>
      </c>
      <c r="C25" s="131"/>
      <c r="D25" s="131" t="s">
        <v>326</v>
      </c>
      <c r="E25" s="131"/>
      <c r="F25" s="61" t="s">
        <v>327</v>
      </c>
      <c r="G25" s="11" t="b">
        <v>1</v>
      </c>
      <c r="J25" s="2">
        <f>+IF(G25=TRUE,'Guía de uso'!$Y$9,0)</f>
        <v>3</v>
      </c>
      <c r="N25" s="59"/>
    </row>
    <row r="26" spans="1:14" ht="98.1" customHeight="1">
      <c r="A26" s="76" t="str">
        <f>+'Guía de uso'!$AA$10</f>
        <v>Nivel 4 = Gestionado</v>
      </c>
      <c r="B26" s="131" t="s">
        <v>329</v>
      </c>
      <c r="C26" s="131"/>
      <c r="D26" s="131" t="s">
        <v>330</v>
      </c>
      <c r="E26" s="131"/>
      <c r="F26" s="61" t="s">
        <v>331</v>
      </c>
      <c r="G26" s="11" t="b">
        <v>0</v>
      </c>
      <c r="J26" s="2">
        <f>+IF(G26=TRUE,'Guía de uso'!$Y$10,0)</f>
        <v>0</v>
      </c>
      <c r="N26" s="59"/>
    </row>
    <row r="27" spans="1:14" ht="75" customHeight="1">
      <c r="A27" s="150" t="s">
        <v>101</v>
      </c>
      <c r="B27" s="150"/>
      <c r="C27" s="150"/>
      <c r="D27" s="150"/>
      <c r="E27" s="150"/>
      <c r="F27" s="150"/>
      <c r="G27" s="9" t="str">
        <f>IF(COUNTIF(G29:G32,TRUE)&gt;1,"SELECCIONE SOLAMENTE UN NIVEL","Marque la opción que describa mejor la situación actual del soporte ")</f>
        <v xml:space="preserve">Marque la opción que describa mejor la situación actual del soporte </v>
      </c>
      <c r="M27" s="10"/>
    </row>
    <row r="28" spans="1:14" ht="21.75" customHeight="1">
      <c r="A28" s="62" t="s">
        <v>9</v>
      </c>
      <c r="B28" s="148" t="s">
        <v>10</v>
      </c>
      <c r="C28" s="148"/>
      <c r="D28" s="148" t="s">
        <v>11</v>
      </c>
      <c r="E28" s="148"/>
      <c r="F28" s="63" t="s">
        <v>12</v>
      </c>
      <c r="G28" s="64"/>
    </row>
    <row r="29" spans="1:14" ht="98.1" customHeight="1">
      <c r="A29" s="76" t="str">
        <f>+'Guía de uso'!$AA$7</f>
        <v>Nivel 1 = Inicial</v>
      </c>
      <c r="B29" s="131" t="s">
        <v>333</v>
      </c>
      <c r="C29" s="131"/>
      <c r="D29" s="131" t="s">
        <v>334</v>
      </c>
      <c r="E29" s="131"/>
      <c r="F29" s="61" t="s">
        <v>335</v>
      </c>
      <c r="G29" s="11" t="b">
        <v>0</v>
      </c>
      <c r="I29" s="50"/>
      <c r="J29" s="2">
        <f>+IF(G29=TRUE,'Guía de uso'!$Y$7,0)</f>
        <v>0</v>
      </c>
      <c r="M29" s="10"/>
    </row>
    <row r="30" spans="1:14" ht="98.1" customHeight="1">
      <c r="A30" s="76" t="str">
        <f>+'Guía de uso'!$AA$8</f>
        <v>Nivel 2 = Repetible</v>
      </c>
      <c r="B30" s="131" t="s">
        <v>337</v>
      </c>
      <c r="C30" s="131"/>
      <c r="D30" s="131" t="s">
        <v>338</v>
      </c>
      <c r="E30" s="131"/>
      <c r="F30" s="61" t="s">
        <v>339</v>
      </c>
      <c r="G30" s="11" t="b">
        <v>1</v>
      </c>
      <c r="I30" s="50"/>
      <c r="J30" s="2">
        <f>+IF(G30=TRUE,'Guía de uso'!$Y$8,0)</f>
        <v>2</v>
      </c>
      <c r="M30" s="10"/>
    </row>
    <row r="31" spans="1:14" ht="98.1" customHeight="1">
      <c r="A31" s="76" t="str">
        <f>+'Guía de uso'!$AA$9</f>
        <v>Nivel 3 = Definido</v>
      </c>
      <c r="B31" s="131" t="s">
        <v>341</v>
      </c>
      <c r="C31" s="131"/>
      <c r="D31" s="131" t="s">
        <v>342</v>
      </c>
      <c r="E31" s="131"/>
      <c r="F31" s="61" t="s">
        <v>343</v>
      </c>
      <c r="G31" s="11" t="b">
        <v>0</v>
      </c>
      <c r="I31" s="50"/>
      <c r="J31" s="2">
        <f>+IF(G31=TRUE,'Guía de uso'!$Y$9,0)</f>
        <v>0</v>
      </c>
      <c r="M31" s="10"/>
    </row>
    <row r="32" spans="1:14" ht="98.1" customHeight="1">
      <c r="A32" s="76" t="str">
        <f>+'Guía de uso'!$AA$10</f>
        <v>Nivel 4 = Gestionado</v>
      </c>
      <c r="B32" s="131" t="s">
        <v>345</v>
      </c>
      <c r="C32" s="131"/>
      <c r="D32" s="131" t="s">
        <v>346</v>
      </c>
      <c r="E32" s="131"/>
      <c r="F32" s="61" t="s">
        <v>347</v>
      </c>
      <c r="G32" s="11" t="b">
        <v>0</v>
      </c>
      <c r="I32" s="50"/>
      <c r="J32" s="2">
        <f>+IF(G32=TRUE,'Guía de uso'!$Y$10,0)</f>
        <v>0</v>
      </c>
      <c r="M32" s="10"/>
    </row>
    <row r="33" spans="1:25" ht="66.599999999999994" customHeight="1">
      <c r="A33" s="150" t="s">
        <v>102</v>
      </c>
      <c r="B33" s="150"/>
      <c r="C33" s="150"/>
      <c r="D33" s="150"/>
      <c r="E33" s="150"/>
      <c r="F33" s="150"/>
      <c r="G33" s="9" t="str">
        <f>IF(COUNTIF(G35:G38,TRUE)&gt;1,"SELECCIONE SOLAMENTE UN NIVEL","Marque la opción que describa mejor la situación actual del soporte ")</f>
        <v xml:space="preserve">Marque la opción que describa mejor la situación actual del soporte </v>
      </c>
      <c r="M33" s="10"/>
    </row>
    <row r="34" spans="1:25" ht="21.75" customHeight="1">
      <c r="A34" s="62" t="s">
        <v>9</v>
      </c>
      <c r="B34" s="148" t="s">
        <v>10</v>
      </c>
      <c r="C34" s="148"/>
      <c r="D34" s="148" t="s">
        <v>11</v>
      </c>
      <c r="E34" s="148"/>
      <c r="F34" s="63" t="s">
        <v>12</v>
      </c>
      <c r="G34" s="64"/>
    </row>
    <row r="35" spans="1:25" ht="98.1" customHeight="1">
      <c r="A35" s="76" t="str">
        <f>+'Guía de uso'!$AA$7</f>
        <v>Nivel 1 = Inicial</v>
      </c>
      <c r="B35" s="131" t="s">
        <v>349</v>
      </c>
      <c r="C35" s="131"/>
      <c r="D35" s="131" t="s">
        <v>350</v>
      </c>
      <c r="E35" s="131"/>
      <c r="F35" s="61" t="s">
        <v>351</v>
      </c>
      <c r="G35" s="11" t="b">
        <v>0</v>
      </c>
      <c r="J35" s="2">
        <f>+IF(G35=TRUE,'Guía de uso'!$Y$7,0)</f>
        <v>0</v>
      </c>
      <c r="M35" s="10"/>
    </row>
    <row r="36" spans="1:25" ht="98.1" customHeight="1">
      <c r="A36" s="76" t="str">
        <f>+'Guía de uso'!$AA$8</f>
        <v>Nivel 2 = Repetible</v>
      </c>
      <c r="B36" s="131" t="s">
        <v>353</v>
      </c>
      <c r="C36" s="131"/>
      <c r="D36" s="131" t="s">
        <v>354</v>
      </c>
      <c r="E36" s="131"/>
      <c r="F36" s="61" t="s">
        <v>355</v>
      </c>
      <c r="G36" s="11" t="b">
        <v>0</v>
      </c>
      <c r="J36" s="2">
        <f>+IF(G36=TRUE,'Guía de uso'!$Y$8,0)</f>
        <v>0</v>
      </c>
      <c r="M36" s="10"/>
    </row>
    <row r="37" spans="1:25" ht="98.1" customHeight="1">
      <c r="A37" s="76" t="str">
        <f>+'Guía de uso'!$AA$9</f>
        <v>Nivel 3 = Definido</v>
      </c>
      <c r="B37" s="131" t="s">
        <v>357</v>
      </c>
      <c r="C37" s="131"/>
      <c r="D37" s="131" t="s">
        <v>358</v>
      </c>
      <c r="E37" s="131"/>
      <c r="F37" s="61" t="s">
        <v>359</v>
      </c>
      <c r="G37" s="11" t="b">
        <v>1</v>
      </c>
      <c r="J37" s="2">
        <f>+IF(G37=TRUE,'Guía de uso'!$Y$9,0)</f>
        <v>3</v>
      </c>
      <c r="M37" s="10"/>
    </row>
    <row r="38" spans="1:25" ht="98.1" customHeight="1">
      <c r="A38" s="76" t="str">
        <f>+'Guía de uso'!$AA$10</f>
        <v>Nivel 4 = Gestionado</v>
      </c>
      <c r="B38" s="131" t="s">
        <v>361</v>
      </c>
      <c r="C38" s="131"/>
      <c r="D38" s="131" t="s">
        <v>362</v>
      </c>
      <c r="E38" s="131"/>
      <c r="F38" s="61" t="s">
        <v>363</v>
      </c>
      <c r="G38" s="11" t="b">
        <v>0</v>
      </c>
      <c r="J38" s="2">
        <f>+IF(G38=TRUE,'Guía de uso'!$Y$10,0)</f>
        <v>0</v>
      </c>
      <c r="M38" s="10"/>
    </row>
    <row r="39" spans="1:25" ht="85.5" customHeight="1">
      <c r="A39" s="150" t="s">
        <v>103</v>
      </c>
      <c r="B39" s="150"/>
      <c r="C39" s="150"/>
      <c r="D39" s="150"/>
      <c r="E39" s="150"/>
      <c r="F39" s="150"/>
      <c r="G39" s="9" t="str">
        <f>IF(COUNTIF(G41:G44,TRUE)&gt;1,"SELECCIONE SOLAMENTE UN NIVEL","Marque la opción que describa mejor la situación actual del soporte ")</f>
        <v xml:space="preserve">Marque la opción que describa mejor la situación actual del soporte </v>
      </c>
      <c r="M39" s="10"/>
    </row>
    <row r="40" spans="1:25" ht="21.75" customHeight="1">
      <c r="A40" s="62" t="s">
        <v>9</v>
      </c>
      <c r="B40" s="148" t="s">
        <v>10</v>
      </c>
      <c r="C40" s="148"/>
      <c r="D40" s="148" t="s">
        <v>11</v>
      </c>
      <c r="E40" s="148"/>
      <c r="F40" s="63" t="s">
        <v>12</v>
      </c>
      <c r="G40" s="64"/>
    </row>
    <row r="41" spans="1:25" ht="98.1" customHeight="1">
      <c r="A41" s="76" t="str">
        <f>+'Guía de uso'!$AA$7</f>
        <v>Nivel 1 = Inicial</v>
      </c>
      <c r="B41" s="131" t="s">
        <v>365</v>
      </c>
      <c r="C41" s="131"/>
      <c r="D41" s="131" t="s">
        <v>366</v>
      </c>
      <c r="E41" s="131"/>
      <c r="F41" s="61" t="s">
        <v>367</v>
      </c>
      <c r="G41" s="11" t="b">
        <v>0</v>
      </c>
      <c r="J41" s="2">
        <f>+IF(G41=TRUE,'Guía de uso'!$Y$7,0)</f>
        <v>0</v>
      </c>
      <c r="M41" s="10"/>
    </row>
    <row r="42" spans="1:25" ht="98.1" customHeight="1">
      <c r="A42" s="76" t="str">
        <f>+'Guía de uso'!$AA$8</f>
        <v>Nivel 2 = Repetible</v>
      </c>
      <c r="B42" s="131" t="s">
        <v>369</v>
      </c>
      <c r="C42" s="131"/>
      <c r="D42" s="131" t="s">
        <v>370</v>
      </c>
      <c r="E42" s="131"/>
      <c r="F42" s="61" t="s">
        <v>371</v>
      </c>
      <c r="G42" s="11" t="b">
        <v>1</v>
      </c>
      <c r="J42" s="2">
        <f>+IF(G42=TRUE,'Guía de uso'!$Y$8,0)</f>
        <v>2</v>
      </c>
      <c r="M42" s="10"/>
    </row>
    <row r="43" spans="1:25" ht="98.1" customHeight="1">
      <c r="A43" s="76" t="str">
        <f>+'Guía de uso'!$AA$9</f>
        <v>Nivel 3 = Definido</v>
      </c>
      <c r="B43" s="131" t="s">
        <v>373</v>
      </c>
      <c r="C43" s="131"/>
      <c r="D43" s="131" t="s">
        <v>374</v>
      </c>
      <c r="E43" s="131"/>
      <c r="F43" s="61" t="s">
        <v>375</v>
      </c>
      <c r="G43" s="11" t="b">
        <v>0</v>
      </c>
      <c r="J43" s="2">
        <f>+IF(G43=TRUE,'Guía de uso'!$Y$9,0)</f>
        <v>0</v>
      </c>
      <c r="M43" s="10"/>
    </row>
    <row r="44" spans="1:25" ht="98.1" customHeight="1">
      <c r="A44" s="76" t="str">
        <f>+'Guía de uso'!$AA$10</f>
        <v>Nivel 4 = Gestionado</v>
      </c>
      <c r="B44" s="131" t="s">
        <v>377</v>
      </c>
      <c r="C44" s="131"/>
      <c r="D44" s="131" t="s">
        <v>378</v>
      </c>
      <c r="E44" s="131"/>
      <c r="F44" s="61" t="s">
        <v>379</v>
      </c>
      <c r="G44" s="11" t="b">
        <v>0</v>
      </c>
      <c r="J44" s="2">
        <f>+IF(G44=TRUE,'Guía de uso'!$Y$10,0)</f>
        <v>0</v>
      </c>
      <c r="M44" s="10"/>
    </row>
    <row r="45" spans="1:25" ht="9.6" customHeight="1"/>
    <row r="46" spans="1:25" ht="29.1" customHeight="1">
      <c r="A46" s="165" t="s">
        <v>13</v>
      </c>
      <c r="B46" s="166"/>
      <c r="C46" s="166"/>
      <c r="D46" s="166"/>
      <c r="E46" s="166"/>
      <c r="F46" s="166"/>
      <c r="G46" s="166"/>
      <c r="L46" s="7"/>
    </row>
    <row r="47" spans="1:25" ht="24" customHeight="1">
      <c r="A47" s="156"/>
      <c r="B47" s="157"/>
      <c r="C47" s="157"/>
      <c r="D47" s="157"/>
      <c r="E47" s="157"/>
      <c r="F47" s="157"/>
      <c r="G47" s="158"/>
    </row>
    <row r="48" spans="1:25" s="1" customFormat="1" ht="24" customHeight="1">
      <c r="A48" s="159"/>
      <c r="B48" s="160"/>
      <c r="C48" s="160"/>
      <c r="D48" s="160"/>
      <c r="E48" s="160"/>
      <c r="F48" s="160"/>
      <c r="G48" s="161"/>
      <c r="J48" s="2"/>
      <c r="M48" s="7"/>
      <c r="Y48" s="12"/>
    </row>
    <row r="49" spans="1:25" s="1" customFormat="1" ht="23.45" customHeight="1">
      <c r="A49" s="162"/>
      <c r="B49" s="163"/>
      <c r="C49" s="163"/>
      <c r="D49" s="163"/>
      <c r="E49" s="163"/>
      <c r="F49" s="163"/>
      <c r="G49" s="164"/>
      <c r="J49" s="2"/>
      <c r="M49" s="7"/>
      <c r="Y49" s="12"/>
    </row>
  </sheetData>
  <mergeCells count="63">
    <mergeCell ref="B20:C20"/>
    <mergeCell ref="D20:E20"/>
    <mergeCell ref="B23:C23"/>
    <mergeCell ref="B24:C24"/>
    <mergeCell ref="B25:C25"/>
    <mergeCell ref="A21:F21"/>
    <mergeCell ref="B22:C22"/>
    <mergeCell ref="D22:E22"/>
    <mergeCell ref="D23:E23"/>
    <mergeCell ref="D24:E24"/>
    <mergeCell ref="D25:E25"/>
    <mergeCell ref="B17:C17"/>
    <mergeCell ref="D17:E17"/>
    <mergeCell ref="B18:C18"/>
    <mergeCell ref="D18:E18"/>
    <mergeCell ref="B19:C19"/>
    <mergeCell ref="D19:E19"/>
    <mergeCell ref="A15:F15"/>
    <mergeCell ref="B16:C16"/>
    <mergeCell ref="D16:E16"/>
    <mergeCell ref="B1:G3"/>
    <mergeCell ref="A10:G10"/>
    <mergeCell ref="A11:G11"/>
    <mergeCell ref="A12:G12"/>
    <mergeCell ref="A13:G13"/>
    <mergeCell ref="A14:G14"/>
    <mergeCell ref="B30:C30"/>
    <mergeCell ref="A27:F27"/>
    <mergeCell ref="B28:C28"/>
    <mergeCell ref="D28:E28"/>
    <mergeCell ref="B29:C29"/>
    <mergeCell ref="D29:E29"/>
    <mergeCell ref="B26:C26"/>
    <mergeCell ref="D26:E26"/>
    <mergeCell ref="B42:C42"/>
    <mergeCell ref="B43:C43"/>
    <mergeCell ref="B44:C44"/>
    <mergeCell ref="B32:C32"/>
    <mergeCell ref="B37:C37"/>
    <mergeCell ref="B41:C41"/>
    <mergeCell ref="B38:C38"/>
    <mergeCell ref="D31:E31"/>
    <mergeCell ref="D32:E32"/>
    <mergeCell ref="D30:E30"/>
    <mergeCell ref="B35:C35"/>
    <mergeCell ref="D35:E35"/>
    <mergeCell ref="B31:C31"/>
    <mergeCell ref="D37:E37"/>
    <mergeCell ref="A33:F33"/>
    <mergeCell ref="B34:C34"/>
    <mergeCell ref="D34:E34"/>
    <mergeCell ref="A47:G49"/>
    <mergeCell ref="B36:C36"/>
    <mergeCell ref="D36:E36"/>
    <mergeCell ref="A46:G46"/>
    <mergeCell ref="D38:E38"/>
    <mergeCell ref="A39:F39"/>
    <mergeCell ref="B40:C40"/>
    <mergeCell ref="D40:E40"/>
    <mergeCell ref="D41:E41"/>
    <mergeCell ref="D42:E42"/>
    <mergeCell ref="D43:E43"/>
    <mergeCell ref="D44:E44"/>
  </mergeCells>
  <conditionalFormatting sqref="A17:B20 D17:D20 F17:F20">
    <cfRule type="expression" dxfId="35" priority="1">
      <formula>$G17=TRUE</formula>
    </cfRule>
  </conditionalFormatting>
  <conditionalFormatting sqref="A23:B26 D23:D26 F23:F26">
    <cfRule type="expression" dxfId="34" priority="2">
      <formula>$G23=TRUE</formula>
    </cfRule>
  </conditionalFormatting>
  <conditionalFormatting sqref="A29:B32 D29:D32 F29:F32">
    <cfRule type="expression" dxfId="33" priority="3">
      <formula>$G29=TRUE</formula>
    </cfRule>
  </conditionalFormatting>
  <conditionalFormatting sqref="A35:B38 D35:D38 F35:F38">
    <cfRule type="expression" dxfId="32" priority="4">
      <formula>$G35=TRUE</formula>
    </cfRule>
  </conditionalFormatting>
  <conditionalFormatting sqref="A41:B44 D41:D44 F41:F44">
    <cfRule type="expression" dxfId="31" priority="5">
      <formula>$G41=TRUE</formula>
    </cfRule>
  </conditionalFormatting>
  <conditionalFormatting sqref="G15">
    <cfRule type="containsText" dxfId="30" priority="22" operator="containsText" text="SELECCIONE SOLAMENTE UN NIVEL">
      <formula>NOT(ISERROR(SEARCH("SELECCIONE SOLAMENTE UN NIVEL",G15)))</formula>
    </cfRule>
  </conditionalFormatting>
  <conditionalFormatting sqref="G21">
    <cfRule type="containsText" dxfId="29" priority="15" operator="containsText" text="SELECCIONE SOLAMENTE UN NIVEL">
      <formula>NOT(ISERROR(SEARCH("SELECCIONE SOLAMENTE UN NIVEL",G21)))</formula>
    </cfRule>
  </conditionalFormatting>
  <conditionalFormatting sqref="G27">
    <cfRule type="containsText" dxfId="28" priority="14" operator="containsText" text="SELECCIONE SOLAMENTE UN NIVEL">
      <formula>NOT(ISERROR(SEARCH("SELECCIONE SOLAMENTE UN NIVEL",G27)))</formula>
    </cfRule>
  </conditionalFormatting>
  <conditionalFormatting sqref="G33">
    <cfRule type="containsText" dxfId="27" priority="13" operator="containsText" text="SELECCIONE SOLAMENTE UN NIVEL">
      <formula>NOT(ISERROR(SEARCH("SELECCIONE SOLAMENTE UN NIVEL",G33)))</formula>
    </cfRule>
  </conditionalFormatting>
  <conditionalFormatting sqref="G39">
    <cfRule type="containsText" dxfId="26" priority="12" operator="containsText" text="SELECCIONE SOLAMENTE UN NIVEL">
      <formula>NOT(ISERROR(SEARCH("SELECCIONE SOLAMENTE UN NIVEL",G39)))</formula>
    </cfRule>
  </conditionalFormatting>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defaultSize="0" autoFill="0" autoLine="0" autoPict="0">
                <anchor moveWithCells="1">
                  <from>
                    <xdr:col>6</xdr:col>
                    <xdr:colOff>676275</xdr:colOff>
                    <xdr:row>16</xdr:row>
                    <xdr:rowOff>342900</xdr:rowOff>
                  </from>
                  <to>
                    <xdr:col>6</xdr:col>
                    <xdr:colOff>1019175</xdr:colOff>
                    <xdr:row>16</xdr:row>
                    <xdr:rowOff>695325</xdr:rowOff>
                  </to>
                </anchor>
              </controlPr>
            </control>
          </mc:Choice>
        </mc:AlternateContent>
        <mc:AlternateContent xmlns:mc="http://schemas.openxmlformats.org/markup-compatibility/2006">
          <mc:Choice Requires="x14">
            <control shapeId="14338" r:id="rId5" name="Check Box 2">
              <controlPr defaultSize="0" autoFill="0" autoLine="0" autoPict="0">
                <anchor moveWithCells="1">
                  <from>
                    <xdr:col>6</xdr:col>
                    <xdr:colOff>676275</xdr:colOff>
                    <xdr:row>17</xdr:row>
                    <xdr:rowOff>409575</xdr:rowOff>
                  </from>
                  <to>
                    <xdr:col>6</xdr:col>
                    <xdr:colOff>1019175</xdr:colOff>
                    <xdr:row>17</xdr:row>
                    <xdr:rowOff>752475</xdr:rowOff>
                  </to>
                </anchor>
              </controlPr>
            </control>
          </mc:Choice>
        </mc:AlternateContent>
        <mc:AlternateContent xmlns:mc="http://schemas.openxmlformats.org/markup-compatibility/2006">
          <mc:Choice Requires="x14">
            <control shapeId="14339" r:id="rId6" name="Check Box 3">
              <controlPr defaultSize="0" autoFill="0" autoLine="0" autoPict="0">
                <anchor moveWithCells="1">
                  <from>
                    <xdr:col>6</xdr:col>
                    <xdr:colOff>676275</xdr:colOff>
                    <xdr:row>18</xdr:row>
                    <xdr:rowOff>409575</xdr:rowOff>
                  </from>
                  <to>
                    <xdr:col>6</xdr:col>
                    <xdr:colOff>1019175</xdr:colOff>
                    <xdr:row>18</xdr:row>
                    <xdr:rowOff>752475</xdr:rowOff>
                  </to>
                </anchor>
              </controlPr>
            </control>
          </mc:Choice>
        </mc:AlternateContent>
        <mc:AlternateContent xmlns:mc="http://schemas.openxmlformats.org/markup-compatibility/2006">
          <mc:Choice Requires="x14">
            <control shapeId="14340" r:id="rId7" name="Check Box 4">
              <controlPr defaultSize="0" autoFill="0" autoLine="0" autoPict="0">
                <anchor moveWithCells="1">
                  <from>
                    <xdr:col>6</xdr:col>
                    <xdr:colOff>676275</xdr:colOff>
                    <xdr:row>19</xdr:row>
                    <xdr:rowOff>381000</xdr:rowOff>
                  </from>
                  <to>
                    <xdr:col>6</xdr:col>
                    <xdr:colOff>1019175</xdr:colOff>
                    <xdr:row>19</xdr:row>
                    <xdr:rowOff>733425</xdr:rowOff>
                  </to>
                </anchor>
              </controlPr>
            </control>
          </mc:Choice>
        </mc:AlternateContent>
        <mc:AlternateContent xmlns:mc="http://schemas.openxmlformats.org/markup-compatibility/2006">
          <mc:Choice Requires="x14">
            <control shapeId="14341" r:id="rId8" name="Check Box 5">
              <controlPr defaultSize="0" autoFill="0" autoLine="0" autoPict="0">
                <anchor moveWithCells="1">
                  <from>
                    <xdr:col>6</xdr:col>
                    <xdr:colOff>657225</xdr:colOff>
                    <xdr:row>40</xdr:row>
                    <xdr:rowOff>314325</xdr:rowOff>
                  </from>
                  <to>
                    <xdr:col>6</xdr:col>
                    <xdr:colOff>1000125</xdr:colOff>
                    <xdr:row>40</xdr:row>
                    <xdr:rowOff>657225</xdr:rowOff>
                  </to>
                </anchor>
              </controlPr>
            </control>
          </mc:Choice>
        </mc:AlternateContent>
        <mc:AlternateContent xmlns:mc="http://schemas.openxmlformats.org/markup-compatibility/2006">
          <mc:Choice Requires="x14">
            <control shapeId="14342" r:id="rId9" name="Check Box 6">
              <controlPr defaultSize="0" autoFill="0" autoLine="0" autoPict="0">
                <anchor moveWithCells="1">
                  <from>
                    <xdr:col>6</xdr:col>
                    <xdr:colOff>657225</xdr:colOff>
                    <xdr:row>41</xdr:row>
                    <xdr:rowOff>371475</xdr:rowOff>
                  </from>
                  <to>
                    <xdr:col>6</xdr:col>
                    <xdr:colOff>1000125</xdr:colOff>
                    <xdr:row>41</xdr:row>
                    <xdr:rowOff>714375</xdr:rowOff>
                  </to>
                </anchor>
              </controlPr>
            </control>
          </mc:Choice>
        </mc:AlternateContent>
        <mc:AlternateContent xmlns:mc="http://schemas.openxmlformats.org/markup-compatibility/2006">
          <mc:Choice Requires="x14">
            <control shapeId="14343" r:id="rId10" name="Check Box 7">
              <controlPr defaultSize="0" autoFill="0" autoLine="0" autoPict="0">
                <anchor moveWithCells="1">
                  <from>
                    <xdr:col>6</xdr:col>
                    <xdr:colOff>657225</xdr:colOff>
                    <xdr:row>42</xdr:row>
                    <xdr:rowOff>371475</xdr:rowOff>
                  </from>
                  <to>
                    <xdr:col>6</xdr:col>
                    <xdr:colOff>1000125</xdr:colOff>
                    <xdr:row>42</xdr:row>
                    <xdr:rowOff>714375</xdr:rowOff>
                  </to>
                </anchor>
              </controlPr>
            </control>
          </mc:Choice>
        </mc:AlternateContent>
        <mc:AlternateContent xmlns:mc="http://schemas.openxmlformats.org/markup-compatibility/2006">
          <mc:Choice Requires="x14">
            <control shapeId="14344" r:id="rId11" name="Check Box 8">
              <controlPr defaultSize="0" autoFill="0" autoLine="0" autoPict="0">
                <anchor moveWithCells="1">
                  <from>
                    <xdr:col>6</xdr:col>
                    <xdr:colOff>657225</xdr:colOff>
                    <xdr:row>43</xdr:row>
                    <xdr:rowOff>371475</xdr:rowOff>
                  </from>
                  <to>
                    <xdr:col>6</xdr:col>
                    <xdr:colOff>1000125</xdr:colOff>
                    <xdr:row>43</xdr:row>
                    <xdr:rowOff>714375</xdr:rowOff>
                  </to>
                </anchor>
              </controlPr>
            </control>
          </mc:Choice>
        </mc:AlternateContent>
        <mc:AlternateContent xmlns:mc="http://schemas.openxmlformats.org/markup-compatibility/2006">
          <mc:Choice Requires="x14">
            <control shapeId="5" r:id="rId12" name="Check Box 9">
              <controlPr defaultSize="0" autoFill="0" autoLine="0" autoPict="0">
                <anchor moveWithCells="1">
                  <from>
                    <xdr:col>6</xdr:col>
                    <xdr:colOff>676275</xdr:colOff>
                    <xdr:row>34</xdr:row>
                    <xdr:rowOff>419100</xdr:rowOff>
                  </from>
                  <to>
                    <xdr:col>6</xdr:col>
                    <xdr:colOff>1019175</xdr:colOff>
                    <xdr:row>34</xdr:row>
                    <xdr:rowOff>762000</xdr:rowOff>
                  </to>
                </anchor>
              </controlPr>
            </control>
          </mc:Choice>
        </mc:AlternateContent>
        <mc:AlternateContent xmlns:mc="http://schemas.openxmlformats.org/markup-compatibility/2006">
          <mc:Choice Requires="x14">
            <control shapeId="14573" r:id="rId13" name="Check Box 10">
              <controlPr defaultSize="0" autoFill="0" autoLine="0" autoPict="0">
                <anchor moveWithCells="1">
                  <from>
                    <xdr:col>6</xdr:col>
                    <xdr:colOff>676275</xdr:colOff>
                    <xdr:row>35</xdr:row>
                    <xdr:rowOff>485775</xdr:rowOff>
                  </from>
                  <to>
                    <xdr:col>6</xdr:col>
                    <xdr:colOff>1019175</xdr:colOff>
                    <xdr:row>35</xdr:row>
                    <xdr:rowOff>828675</xdr:rowOff>
                  </to>
                </anchor>
              </controlPr>
            </control>
          </mc:Choice>
        </mc:AlternateContent>
        <mc:AlternateContent xmlns:mc="http://schemas.openxmlformats.org/markup-compatibility/2006">
          <mc:Choice Requires="x14">
            <control shapeId="14574" r:id="rId14" name="Check Box 11">
              <controlPr defaultSize="0" autoFill="0" autoLine="0" autoPict="0">
                <anchor moveWithCells="1">
                  <from>
                    <xdr:col>6</xdr:col>
                    <xdr:colOff>676275</xdr:colOff>
                    <xdr:row>36</xdr:row>
                    <xdr:rowOff>485775</xdr:rowOff>
                  </from>
                  <to>
                    <xdr:col>6</xdr:col>
                    <xdr:colOff>1019175</xdr:colOff>
                    <xdr:row>36</xdr:row>
                    <xdr:rowOff>828675</xdr:rowOff>
                  </to>
                </anchor>
              </controlPr>
            </control>
          </mc:Choice>
        </mc:AlternateContent>
        <mc:AlternateContent xmlns:mc="http://schemas.openxmlformats.org/markup-compatibility/2006">
          <mc:Choice Requires="x14">
            <control shapeId="14575" r:id="rId15" name="Check Box 12">
              <controlPr defaultSize="0" autoFill="0" autoLine="0" autoPict="0">
                <anchor moveWithCells="1">
                  <from>
                    <xdr:col>6</xdr:col>
                    <xdr:colOff>676275</xdr:colOff>
                    <xdr:row>37</xdr:row>
                    <xdr:rowOff>457200</xdr:rowOff>
                  </from>
                  <to>
                    <xdr:col>6</xdr:col>
                    <xdr:colOff>1019175</xdr:colOff>
                    <xdr:row>37</xdr:row>
                    <xdr:rowOff>809625</xdr:rowOff>
                  </to>
                </anchor>
              </controlPr>
            </control>
          </mc:Choice>
        </mc:AlternateContent>
        <mc:AlternateContent xmlns:mc="http://schemas.openxmlformats.org/markup-compatibility/2006">
          <mc:Choice Requires="x14">
            <control shapeId="14576" r:id="rId16" name="Check Box 13">
              <controlPr defaultSize="0" autoFill="0" autoLine="0" autoPict="0">
                <anchor moveWithCells="1">
                  <from>
                    <xdr:col>6</xdr:col>
                    <xdr:colOff>676275</xdr:colOff>
                    <xdr:row>28</xdr:row>
                    <xdr:rowOff>419100</xdr:rowOff>
                  </from>
                  <to>
                    <xdr:col>6</xdr:col>
                    <xdr:colOff>1019175</xdr:colOff>
                    <xdr:row>28</xdr:row>
                    <xdr:rowOff>762000</xdr:rowOff>
                  </to>
                </anchor>
              </controlPr>
            </control>
          </mc:Choice>
        </mc:AlternateContent>
        <mc:AlternateContent xmlns:mc="http://schemas.openxmlformats.org/markup-compatibility/2006">
          <mc:Choice Requires="x14">
            <control shapeId="14583" r:id="rId17" name="Check Box 14">
              <controlPr defaultSize="0" autoFill="0" autoLine="0" autoPict="0">
                <anchor moveWithCells="1">
                  <from>
                    <xdr:col>6</xdr:col>
                    <xdr:colOff>676275</xdr:colOff>
                    <xdr:row>29</xdr:row>
                    <xdr:rowOff>485775</xdr:rowOff>
                  </from>
                  <to>
                    <xdr:col>6</xdr:col>
                    <xdr:colOff>1019175</xdr:colOff>
                    <xdr:row>29</xdr:row>
                    <xdr:rowOff>828675</xdr:rowOff>
                  </to>
                </anchor>
              </controlPr>
            </control>
          </mc:Choice>
        </mc:AlternateContent>
        <mc:AlternateContent xmlns:mc="http://schemas.openxmlformats.org/markup-compatibility/2006">
          <mc:Choice Requires="x14">
            <control shapeId="14584" r:id="rId18" name="Check Box 15">
              <controlPr defaultSize="0" autoFill="0" autoLine="0" autoPict="0">
                <anchor moveWithCells="1">
                  <from>
                    <xdr:col>6</xdr:col>
                    <xdr:colOff>676275</xdr:colOff>
                    <xdr:row>30</xdr:row>
                    <xdr:rowOff>485775</xdr:rowOff>
                  </from>
                  <to>
                    <xdr:col>6</xdr:col>
                    <xdr:colOff>1019175</xdr:colOff>
                    <xdr:row>30</xdr:row>
                    <xdr:rowOff>828675</xdr:rowOff>
                  </to>
                </anchor>
              </controlPr>
            </control>
          </mc:Choice>
        </mc:AlternateContent>
        <mc:AlternateContent xmlns:mc="http://schemas.openxmlformats.org/markup-compatibility/2006">
          <mc:Choice Requires="x14">
            <control shapeId="14585" r:id="rId19" name="Check Box 16">
              <controlPr defaultSize="0" autoFill="0" autoLine="0" autoPict="0">
                <anchor moveWithCells="1">
                  <from>
                    <xdr:col>6</xdr:col>
                    <xdr:colOff>676275</xdr:colOff>
                    <xdr:row>31</xdr:row>
                    <xdr:rowOff>457200</xdr:rowOff>
                  </from>
                  <to>
                    <xdr:col>6</xdr:col>
                    <xdr:colOff>1019175</xdr:colOff>
                    <xdr:row>31</xdr:row>
                    <xdr:rowOff>809625</xdr:rowOff>
                  </to>
                </anchor>
              </controlPr>
            </control>
          </mc:Choice>
        </mc:AlternateContent>
        <mc:AlternateContent xmlns:mc="http://schemas.openxmlformats.org/markup-compatibility/2006">
          <mc:Choice Requires="x14">
            <control shapeId="14586" r:id="rId20" name="Check Box 17">
              <controlPr defaultSize="0" autoFill="0" autoLine="0" autoPict="0">
                <anchor moveWithCells="1">
                  <from>
                    <xdr:col>6</xdr:col>
                    <xdr:colOff>676275</xdr:colOff>
                    <xdr:row>22</xdr:row>
                    <xdr:rowOff>333375</xdr:rowOff>
                  </from>
                  <to>
                    <xdr:col>6</xdr:col>
                    <xdr:colOff>1019175</xdr:colOff>
                    <xdr:row>22</xdr:row>
                    <xdr:rowOff>676275</xdr:rowOff>
                  </to>
                </anchor>
              </controlPr>
            </control>
          </mc:Choice>
        </mc:AlternateContent>
        <mc:AlternateContent xmlns:mc="http://schemas.openxmlformats.org/markup-compatibility/2006">
          <mc:Choice Requires="x14">
            <control shapeId="14593" r:id="rId21" name="Check Box 18">
              <controlPr defaultSize="0" autoFill="0" autoLine="0" autoPict="0">
                <anchor moveWithCells="1">
                  <from>
                    <xdr:col>6</xdr:col>
                    <xdr:colOff>676275</xdr:colOff>
                    <xdr:row>23</xdr:row>
                    <xdr:rowOff>409575</xdr:rowOff>
                  </from>
                  <to>
                    <xdr:col>6</xdr:col>
                    <xdr:colOff>1019175</xdr:colOff>
                    <xdr:row>23</xdr:row>
                    <xdr:rowOff>752475</xdr:rowOff>
                  </to>
                </anchor>
              </controlPr>
            </control>
          </mc:Choice>
        </mc:AlternateContent>
        <mc:AlternateContent xmlns:mc="http://schemas.openxmlformats.org/markup-compatibility/2006">
          <mc:Choice Requires="x14">
            <control shapeId="14594" r:id="rId22" name="Check Box 19">
              <controlPr defaultSize="0" autoFill="0" autoLine="0" autoPict="0">
                <anchor moveWithCells="1">
                  <from>
                    <xdr:col>6</xdr:col>
                    <xdr:colOff>676275</xdr:colOff>
                    <xdr:row>24</xdr:row>
                    <xdr:rowOff>390525</xdr:rowOff>
                  </from>
                  <to>
                    <xdr:col>6</xdr:col>
                    <xdr:colOff>1019175</xdr:colOff>
                    <xdr:row>24</xdr:row>
                    <xdr:rowOff>733425</xdr:rowOff>
                  </to>
                </anchor>
              </controlPr>
            </control>
          </mc:Choice>
        </mc:AlternateContent>
        <mc:AlternateContent xmlns:mc="http://schemas.openxmlformats.org/markup-compatibility/2006">
          <mc:Choice Requires="x14">
            <control shapeId="14595" r:id="rId23" name="Check Box 20">
              <controlPr defaultSize="0" autoFill="0" autoLine="0" autoPict="0">
                <anchor moveWithCells="1">
                  <from>
                    <xdr:col>6</xdr:col>
                    <xdr:colOff>676275</xdr:colOff>
                    <xdr:row>25</xdr:row>
                    <xdr:rowOff>371475</xdr:rowOff>
                  </from>
                  <to>
                    <xdr:col>6</xdr:col>
                    <xdr:colOff>1019175</xdr:colOff>
                    <xdr:row>25</xdr:row>
                    <xdr:rowOff>714375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7"/>
  <sheetViews>
    <sheetView showGridLines="0" topLeftCell="A16" zoomScaleNormal="100" workbookViewId="0"/>
  </sheetViews>
  <sheetFormatPr baseColWidth="10" defaultColWidth="0" defaultRowHeight="22.35" customHeight="1"/>
  <cols>
    <col min="1" max="1" width="19.125" style="7" customWidth="1"/>
    <col min="2" max="3" width="19.625" style="7" customWidth="1"/>
    <col min="4" max="4" width="31.375" style="7" customWidth="1"/>
    <col min="5" max="5" width="28.125" style="7" customWidth="1"/>
    <col min="6" max="6" width="60.375" style="58" customWidth="1"/>
    <col min="7" max="7" width="22.375" style="7" customWidth="1"/>
    <col min="8" max="8" width="11.375" style="1" customWidth="1"/>
    <col min="9" max="9" width="11.375" style="1" hidden="1" customWidth="1"/>
    <col min="10" max="10" width="11.375" style="2" hidden="1" customWidth="1"/>
    <col min="11" max="12" width="11.375" style="1" hidden="1" customWidth="1"/>
    <col min="13" max="24" width="11.375" style="7" hidden="1" customWidth="1"/>
    <col min="25" max="25" width="11.375" style="12" hidden="1" customWidth="1"/>
    <col min="26" max="16384" width="11.375" style="7" hidden="1"/>
  </cols>
  <sheetData>
    <row r="1" spans="1:25" s="1" customFormat="1" ht="22.35" customHeight="1">
      <c r="A1" s="31"/>
      <c r="B1" s="149" t="s">
        <v>528</v>
      </c>
      <c r="C1" s="149"/>
      <c r="D1" s="149"/>
      <c r="E1" s="149"/>
      <c r="F1" s="149"/>
      <c r="G1" s="149"/>
      <c r="J1" s="2"/>
      <c r="Y1" s="12"/>
    </row>
    <row r="2" spans="1:25" s="1" customFormat="1" ht="14.25" customHeight="1">
      <c r="A2" s="31"/>
      <c r="B2" s="149"/>
      <c r="C2" s="149"/>
      <c r="D2" s="149"/>
      <c r="E2" s="149"/>
      <c r="F2" s="149"/>
      <c r="G2" s="149"/>
      <c r="J2" s="2"/>
      <c r="Y2" s="12"/>
    </row>
    <row r="3" spans="1:25" s="1" customFormat="1" ht="14.25" customHeight="1">
      <c r="A3" s="31"/>
      <c r="B3" s="149"/>
      <c r="C3" s="149"/>
      <c r="D3" s="149"/>
      <c r="E3" s="149"/>
      <c r="F3" s="149"/>
      <c r="G3" s="149"/>
      <c r="J3" s="2"/>
      <c r="Y3" s="12"/>
    </row>
    <row r="4" spans="1:25" customFormat="1" ht="3" customHeight="1">
      <c r="A4" s="81"/>
      <c r="B4" s="81"/>
      <c r="C4" s="81"/>
      <c r="D4" s="82"/>
      <c r="E4" s="81"/>
      <c r="F4" s="82"/>
      <c r="G4" s="83"/>
    </row>
    <row r="5" spans="1:25" s="1" customFormat="1" ht="15">
      <c r="A5" s="3" t="s">
        <v>0</v>
      </c>
      <c r="B5" s="3"/>
      <c r="C5" s="3" t="s">
        <v>1</v>
      </c>
      <c r="D5" s="4" t="s">
        <v>31</v>
      </c>
      <c r="E5" s="3" t="s">
        <v>32</v>
      </c>
      <c r="F5" s="44"/>
      <c r="G5" s="6" t="s">
        <v>2</v>
      </c>
      <c r="J5" s="2"/>
      <c r="Y5" s="12"/>
    </row>
    <row r="6" spans="1:25" s="1" customFormat="1" ht="15">
      <c r="A6" s="3" t="s">
        <v>3</v>
      </c>
      <c r="B6" s="3"/>
      <c r="C6" s="3"/>
      <c r="D6" s="4" t="s">
        <v>4</v>
      </c>
      <c r="E6" s="5"/>
      <c r="F6" s="44"/>
      <c r="G6" s="85" t="s">
        <v>5</v>
      </c>
      <c r="J6" s="2"/>
      <c r="Y6" s="12"/>
    </row>
    <row r="7" spans="1:25" s="1" customFormat="1" ht="15">
      <c r="A7" s="3" t="s">
        <v>6</v>
      </c>
      <c r="B7" s="3"/>
      <c r="C7" s="3"/>
      <c r="D7" s="4" t="s">
        <v>7</v>
      </c>
      <c r="E7" s="3"/>
      <c r="F7" s="32"/>
      <c r="G7" s="6"/>
      <c r="J7" s="2"/>
      <c r="Y7" s="12"/>
    </row>
    <row r="8" spans="1:25" ht="14.25"/>
    <row r="9" spans="1:25" ht="14.25"/>
    <row r="10" spans="1:25" ht="21.75" customHeight="1">
      <c r="A10" s="151" t="s">
        <v>8</v>
      </c>
      <c r="B10" s="152"/>
      <c r="C10" s="152"/>
      <c r="D10" s="152"/>
      <c r="E10" s="152"/>
      <c r="F10" s="152"/>
      <c r="G10" s="153"/>
    </row>
    <row r="11" spans="1:25" ht="78.599999999999994" customHeight="1">
      <c r="A11" s="131" t="s">
        <v>83</v>
      </c>
      <c r="B11" s="131"/>
      <c r="C11" s="131"/>
      <c r="D11" s="131"/>
      <c r="E11" s="131"/>
      <c r="F11" s="131"/>
      <c r="G11" s="131"/>
    </row>
    <row r="12" spans="1:25" ht="20.100000000000001" customHeight="1">
      <c r="A12" s="151" t="s">
        <v>16</v>
      </c>
      <c r="B12" s="152"/>
      <c r="C12" s="152"/>
      <c r="D12" s="152"/>
      <c r="E12" s="152"/>
      <c r="F12" s="152"/>
      <c r="G12" s="153"/>
    </row>
    <row r="13" spans="1:25" ht="74.099999999999994" customHeight="1">
      <c r="A13" s="155" t="s">
        <v>105</v>
      </c>
      <c r="B13" s="155"/>
      <c r="C13" s="155"/>
      <c r="D13" s="155"/>
      <c r="E13" s="155"/>
      <c r="F13" s="155"/>
      <c r="G13" s="155"/>
    </row>
    <row r="14" spans="1:25" ht="21.75" customHeight="1">
      <c r="A14" s="154" t="s">
        <v>104</v>
      </c>
      <c r="B14" s="154"/>
      <c r="C14" s="154"/>
      <c r="D14" s="154"/>
      <c r="E14" s="154"/>
      <c r="F14" s="154"/>
      <c r="G14" s="154"/>
    </row>
    <row r="15" spans="1:25" ht="66.599999999999994" customHeight="1">
      <c r="A15" s="150" t="s">
        <v>107</v>
      </c>
      <c r="B15" s="150"/>
      <c r="C15" s="150"/>
      <c r="D15" s="150"/>
      <c r="E15" s="150"/>
      <c r="F15" s="150"/>
      <c r="G15" s="9" t="str">
        <f>IF(COUNTIF(G17:G20,TRUE)&gt;1,"SELECCIONE SOLAMENTE UN NIVEL","Marque la opción que describa mejor la situación actual de la operación del SGSI ")</f>
        <v xml:space="preserve">Marque la opción que describa mejor la situación actual de la operación del SGSI </v>
      </c>
      <c r="M15" s="10"/>
    </row>
    <row r="16" spans="1:25" ht="21.75" customHeight="1">
      <c r="A16" s="62" t="s">
        <v>9</v>
      </c>
      <c r="B16" s="148" t="s">
        <v>10</v>
      </c>
      <c r="C16" s="148"/>
      <c r="D16" s="148" t="s">
        <v>11</v>
      </c>
      <c r="E16" s="148"/>
      <c r="F16" s="63" t="s">
        <v>12</v>
      </c>
      <c r="G16" s="64"/>
    </row>
    <row r="17" spans="1:14" ht="98.1" customHeight="1">
      <c r="A17" s="76" t="str">
        <f>+'Guía de uso'!$AA$7</f>
        <v>Nivel 1 = Inicial</v>
      </c>
      <c r="B17" s="131" t="s">
        <v>381</v>
      </c>
      <c r="C17" s="131"/>
      <c r="D17" s="131" t="s">
        <v>382</v>
      </c>
      <c r="E17" s="131"/>
      <c r="F17" s="61" t="s">
        <v>383</v>
      </c>
      <c r="G17" s="11" t="b">
        <v>0</v>
      </c>
      <c r="J17" s="2">
        <f>+IF(G17=TRUE,'Guía de uso'!$Y$7,0)</f>
        <v>0</v>
      </c>
      <c r="M17" s="10"/>
    </row>
    <row r="18" spans="1:14" ht="98.1" customHeight="1">
      <c r="A18" s="76" t="str">
        <f>+'Guía de uso'!$AA$8</f>
        <v>Nivel 2 = Repetible</v>
      </c>
      <c r="B18" s="131" t="s">
        <v>385</v>
      </c>
      <c r="C18" s="131"/>
      <c r="D18" s="131" t="s">
        <v>386</v>
      </c>
      <c r="E18" s="131"/>
      <c r="F18" s="61" t="s">
        <v>387</v>
      </c>
      <c r="G18" s="11" t="b">
        <v>1</v>
      </c>
      <c r="J18" s="2">
        <f>+IF(G18=TRUE,'Guía de uso'!$Y$8,0)</f>
        <v>2</v>
      </c>
      <c r="M18" s="10"/>
    </row>
    <row r="19" spans="1:14" ht="98.1" customHeight="1">
      <c r="A19" s="76" t="str">
        <f>+'Guía de uso'!$AA$9</f>
        <v>Nivel 3 = Definido</v>
      </c>
      <c r="B19" s="131" t="s">
        <v>389</v>
      </c>
      <c r="C19" s="131"/>
      <c r="D19" s="131" t="s">
        <v>390</v>
      </c>
      <c r="E19" s="131"/>
      <c r="F19" s="61" t="s">
        <v>391</v>
      </c>
      <c r="G19" s="11" t="b">
        <v>0</v>
      </c>
      <c r="J19" s="2">
        <f>+IF(G19=TRUE,'Guía de uso'!$Y$9,0)</f>
        <v>0</v>
      </c>
      <c r="M19" s="10"/>
    </row>
    <row r="20" spans="1:14" ht="117" customHeight="1">
      <c r="A20" s="76" t="str">
        <f>+'Guía de uso'!$AA$10</f>
        <v>Nivel 4 = Gestionado</v>
      </c>
      <c r="B20" s="131" t="s">
        <v>393</v>
      </c>
      <c r="C20" s="131"/>
      <c r="D20" s="131" t="s">
        <v>394</v>
      </c>
      <c r="E20" s="131"/>
      <c r="F20" s="61" t="s">
        <v>395</v>
      </c>
      <c r="G20" s="11" t="b">
        <v>0</v>
      </c>
      <c r="J20" s="2">
        <f>+IF(G20=TRUE,'Guía de uso'!$Y$10,0)</f>
        <v>0</v>
      </c>
      <c r="M20" s="10"/>
    </row>
    <row r="21" spans="1:14" ht="67.5" customHeight="1">
      <c r="A21" s="150" t="s">
        <v>106</v>
      </c>
      <c r="B21" s="150"/>
      <c r="C21" s="150"/>
      <c r="D21" s="150"/>
      <c r="E21" s="150"/>
      <c r="F21" s="150"/>
      <c r="G21" s="9" t="str">
        <f>IF(COUNTIF(G23:G26,TRUE)&gt;1,"SELECCIONE SOLAMENTE UN NIVEL","Marque la opción que describa mejor la situación actual de la operación del SGSI ")</f>
        <v xml:space="preserve">Marque la opción que describa mejor la situación actual de la operación del SGSI </v>
      </c>
      <c r="M21" s="10"/>
    </row>
    <row r="22" spans="1:14" ht="21.75" customHeight="1">
      <c r="A22" s="62" t="s">
        <v>9</v>
      </c>
      <c r="B22" s="148" t="s">
        <v>10</v>
      </c>
      <c r="C22" s="148"/>
      <c r="D22" s="148" t="s">
        <v>11</v>
      </c>
      <c r="E22" s="148"/>
      <c r="F22" s="63" t="s">
        <v>12</v>
      </c>
      <c r="G22" s="64"/>
    </row>
    <row r="23" spans="1:14" ht="98.1" customHeight="1">
      <c r="A23" s="76" t="str">
        <f>+'Guía de uso'!$AA$7</f>
        <v>Nivel 1 = Inicial</v>
      </c>
      <c r="B23" s="131" t="s">
        <v>277</v>
      </c>
      <c r="C23" s="131"/>
      <c r="D23" s="131" t="s">
        <v>397</v>
      </c>
      <c r="E23" s="131"/>
      <c r="F23" s="61" t="s">
        <v>398</v>
      </c>
      <c r="G23" s="11" t="b">
        <v>0</v>
      </c>
      <c r="J23" s="2">
        <f>+IF(G23=TRUE,'Guía de uso'!$Y$7,0)</f>
        <v>0</v>
      </c>
      <c r="N23" s="59"/>
    </row>
    <row r="24" spans="1:14" ht="98.1" customHeight="1">
      <c r="A24" s="76" t="str">
        <f>+'Guía de uso'!$AA$8</f>
        <v>Nivel 2 = Repetible</v>
      </c>
      <c r="B24" s="131" t="s">
        <v>400</v>
      </c>
      <c r="C24" s="131"/>
      <c r="D24" s="131" t="s">
        <v>401</v>
      </c>
      <c r="E24" s="131"/>
      <c r="F24" s="61" t="s">
        <v>402</v>
      </c>
      <c r="G24" s="11" t="b">
        <v>1</v>
      </c>
      <c r="J24" s="2">
        <f>+IF(G24=TRUE,'Guía de uso'!$Y$8,0)</f>
        <v>2</v>
      </c>
      <c r="N24" s="59"/>
    </row>
    <row r="25" spans="1:14" ht="98.1" customHeight="1">
      <c r="A25" s="76" t="str">
        <f>+'Guía de uso'!$AA$9</f>
        <v>Nivel 3 = Definido</v>
      </c>
      <c r="B25" s="131" t="s">
        <v>278</v>
      </c>
      <c r="C25" s="131"/>
      <c r="D25" s="131" t="s">
        <v>279</v>
      </c>
      <c r="E25" s="131"/>
      <c r="F25" s="61" t="s">
        <v>280</v>
      </c>
      <c r="G25" s="11" t="b">
        <v>0</v>
      </c>
      <c r="J25" s="2">
        <f>+IF(G25=TRUE,'Guía de uso'!$Y$9,0)</f>
        <v>0</v>
      </c>
      <c r="N25" s="59"/>
    </row>
    <row r="26" spans="1:14" ht="114" customHeight="1">
      <c r="A26" s="76" t="str">
        <f>+'Guía de uso'!$AA$10</f>
        <v>Nivel 4 = Gestionado</v>
      </c>
      <c r="B26" s="131" t="s">
        <v>281</v>
      </c>
      <c r="C26" s="131"/>
      <c r="D26" s="131" t="s">
        <v>282</v>
      </c>
      <c r="E26" s="131"/>
      <c r="F26" s="61" t="s">
        <v>283</v>
      </c>
      <c r="G26" s="11" t="b">
        <v>0</v>
      </c>
      <c r="J26" s="2">
        <f>+IF(G26=TRUE,'Guía de uso'!$Y$10,0)</f>
        <v>0</v>
      </c>
      <c r="N26" s="59"/>
    </row>
    <row r="27" spans="1:14" ht="75" customHeight="1">
      <c r="A27" s="150" t="s">
        <v>108</v>
      </c>
      <c r="B27" s="150"/>
      <c r="C27" s="150"/>
      <c r="D27" s="150"/>
      <c r="E27" s="150"/>
      <c r="F27" s="150"/>
      <c r="G27" s="9" t="str">
        <f>IF(COUNTIF(G29:G32,TRUE)&gt;1,"SELECCIONE SOLAMENTE UN NIVEL","Marque la opción que describa mejor la situación actual de la operación del SGSI ")</f>
        <v xml:space="preserve">Marque la opción que describa mejor la situación actual de la operación del SGSI </v>
      </c>
      <c r="M27" s="10"/>
    </row>
    <row r="28" spans="1:14" ht="21.75" customHeight="1">
      <c r="A28" s="62" t="s">
        <v>9</v>
      </c>
      <c r="B28" s="148" t="s">
        <v>10</v>
      </c>
      <c r="C28" s="148"/>
      <c r="D28" s="148" t="s">
        <v>11</v>
      </c>
      <c r="E28" s="148"/>
      <c r="F28" s="63" t="s">
        <v>12</v>
      </c>
      <c r="G28" s="64"/>
    </row>
    <row r="29" spans="1:14" ht="98.1" customHeight="1">
      <c r="A29" s="76" t="str">
        <f>+'Guía de uso'!$AA$7</f>
        <v>Nivel 1 = Inicial</v>
      </c>
      <c r="B29" s="131" t="s">
        <v>405</v>
      </c>
      <c r="C29" s="131"/>
      <c r="D29" s="131" t="s">
        <v>406</v>
      </c>
      <c r="E29" s="131"/>
      <c r="F29" s="61" t="s">
        <v>407</v>
      </c>
      <c r="G29" s="11" t="b">
        <v>0</v>
      </c>
      <c r="I29" s="50"/>
      <c r="J29" s="2">
        <f>+IF(G29=TRUE,'Guía de uso'!$Y$7,0)</f>
        <v>0</v>
      </c>
      <c r="M29" s="10"/>
    </row>
    <row r="30" spans="1:14" ht="98.1" customHeight="1">
      <c r="A30" s="76" t="str">
        <f>+'Guía de uso'!$AA$8</f>
        <v>Nivel 2 = Repetible</v>
      </c>
      <c r="B30" s="131" t="s">
        <v>409</v>
      </c>
      <c r="C30" s="131"/>
      <c r="D30" s="131" t="s">
        <v>410</v>
      </c>
      <c r="E30" s="131"/>
      <c r="F30" s="61" t="s">
        <v>411</v>
      </c>
      <c r="G30" s="11" t="b">
        <v>1</v>
      </c>
      <c r="I30" s="50"/>
      <c r="J30" s="2">
        <f>+IF(G30=TRUE,'Guía de uso'!$Y$8,0)</f>
        <v>2</v>
      </c>
      <c r="M30" s="10"/>
    </row>
    <row r="31" spans="1:14" ht="114.6" customHeight="1">
      <c r="A31" s="76" t="str">
        <f>+'Guía de uso'!$AA$9</f>
        <v>Nivel 3 = Definido</v>
      </c>
      <c r="B31" s="131" t="s">
        <v>413</v>
      </c>
      <c r="C31" s="131"/>
      <c r="D31" s="131" t="s">
        <v>414</v>
      </c>
      <c r="E31" s="131"/>
      <c r="F31" s="61" t="s">
        <v>280</v>
      </c>
      <c r="G31" s="11" t="b">
        <v>0</v>
      </c>
      <c r="I31" s="50"/>
      <c r="J31" s="2">
        <f>+IF(G31=TRUE,'Guía de uso'!$Y$9,0)</f>
        <v>0</v>
      </c>
      <c r="M31" s="10"/>
    </row>
    <row r="32" spans="1:14" ht="114.6" customHeight="1">
      <c r="A32" s="76" t="str">
        <f>+'Guía de uso'!$AA$10</f>
        <v>Nivel 4 = Gestionado</v>
      </c>
      <c r="B32" s="131" t="s">
        <v>416</v>
      </c>
      <c r="C32" s="131"/>
      <c r="D32" s="131" t="s">
        <v>417</v>
      </c>
      <c r="E32" s="131"/>
      <c r="F32" s="61" t="s">
        <v>418</v>
      </c>
      <c r="G32" s="11" t="b">
        <v>0</v>
      </c>
      <c r="I32" s="50"/>
      <c r="J32" s="2">
        <f>+IF(G32=TRUE,'Guía de uso'!$Y$10,0)</f>
        <v>0</v>
      </c>
      <c r="M32" s="10"/>
    </row>
    <row r="33" spans="1:25" ht="9.6" customHeight="1"/>
    <row r="34" spans="1:25" ht="29.1" customHeight="1">
      <c r="A34" s="165" t="s">
        <v>13</v>
      </c>
      <c r="B34" s="166"/>
      <c r="C34" s="166"/>
      <c r="D34" s="166"/>
      <c r="E34" s="166"/>
      <c r="F34" s="166"/>
      <c r="G34" s="166"/>
      <c r="L34" s="7"/>
    </row>
    <row r="35" spans="1:25" ht="24" customHeight="1">
      <c r="A35" s="156"/>
      <c r="B35" s="157"/>
      <c r="C35" s="157"/>
      <c r="D35" s="157"/>
      <c r="E35" s="157"/>
      <c r="F35" s="157"/>
      <c r="G35" s="158"/>
    </row>
    <row r="36" spans="1:25" s="1" customFormat="1" ht="24" customHeight="1">
      <c r="A36" s="159"/>
      <c r="B36" s="160"/>
      <c r="C36" s="160"/>
      <c r="D36" s="160"/>
      <c r="E36" s="160"/>
      <c r="F36" s="160"/>
      <c r="G36" s="161"/>
      <c r="J36" s="2"/>
      <c r="M36" s="7"/>
      <c r="Y36" s="12"/>
    </row>
    <row r="37" spans="1:25" s="1" customFormat="1" ht="24" customHeight="1">
      <c r="A37" s="162"/>
      <c r="B37" s="163"/>
      <c r="C37" s="163"/>
      <c r="D37" s="163"/>
      <c r="E37" s="163"/>
      <c r="F37" s="163"/>
      <c r="G37" s="164"/>
      <c r="J37" s="2"/>
      <c r="M37" s="7"/>
      <c r="Y37" s="12"/>
    </row>
  </sheetData>
  <mergeCells count="41">
    <mergeCell ref="D23:E23"/>
    <mergeCell ref="D24:E24"/>
    <mergeCell ref="D25:E25"/>
    <mergeCell ref="D26:E26"/>
    <mergeCell ref="D30:E30"/>
    <mergeCell ref="A14:G14"/>
    <mergeCell ref="B1:G3"/>
    <mergeCell ref="A10:G10"/>
    <mergeCell ref="A11:G11"/>
    <mergeCell ref="A12:G12"/>
    <mergeCell ref="A13:G13"/>
    <mergeCell ref="B22:C22"/>
    <mergeCell ref="D22:E22"/>
    <mergeCell ref="A15:F15"/>
    <mergeCell ref="B16:C16"/>
    <mergeCell ref="D16:E16"/>
    <mergeCell ref="B17:C17"/>
    <mergeCell ref="D17:E17"/>
    <mergeCell ref="B18:C18"/>
    <mergeCell ref="D18:E18"/>
    <mergeCell ref="B19:C19"/>
    <mergeCell ref="D19:E19"/>
    <mergeCell ref="B20:C20"/>
    <mergeCell ref="D20:E20"/>
    <mergeCell ref="A21:F21"/>
    <mergeCell ref="A34:G34"/>
    <mergeCell ref="A35:G37"/>
    <mergeCell ref="B29:C29"/>
    <mergeCell ref="D29:E29"/>
    <mergeCell ref="A27:F27"/>
    <mergeCell ref="B28:C28"/>
    <mergeCell ref="D28:E28"/>
    <mergeCell ref="B32:C32"/>
    <mergeCell ref="D32:E32"/>
    <mergeCell ref="D31:E31"/>
    <mergeCell ref="B31:C31"/>
    <mergeCell ref="B23:C23"/>
    <mergeCell ref="B24:C24"/>
    <mergeCell ref="B25:C25"/>
    <mergeCell ref="B26:C26"/>
    <mergeCell ref="B30:C30"/>
  </mergeCells>
  <conditionalFormatting sqref="A17:B20 D17:D20 F17:F20">
    <cfRule type="expression" dxfId="25" priority="3">
      <formula>$G17=TRUE</formula>
    </cfRule>
  </conditionalFormatting>
  <conditionalFormatting sqref="A23:B26 D23:D26 F23:F26">
    <cfRule type="expression" dxfId="24" priority="2">
      <formula>$G23=TRUE</formula>
    </cfRule>
  </conditionalFormatting>
  <conditionalFormatting sqref="A29:B32 D29:D32 F29:F32">
    <cfRule type="expression" dxfId="23" priority="1">
      <formula>$G29=TRUE</formula>
    </cfRule>
  </conditionalFormatting>
  <conditionalFormatting sqref="G15">
    <cfRule type="containsText" dxfId="22" priority="23" operator="containsText" text="SELECCIONE SOLAMENTE UN NIVEL">
      <formula>NOT(ISERROR(SEARCH("SELECCIONE SOLAMENTE UN NIVEL",G15)))</formula>
    </cfRule>
  </conditionalFormatting>
  <conditionalFormatting sqref="G21">
    <cfRule type="containsText" dxfId="21" priority="11" operator="containsText" text="SELECCIONE SOLAMENTE UN NIVEL">
      <formula>NOT(ISERROR(SEARCH("SELECCIONE SOLAMENTE UN NIVEL",G21)))</formula>
    </cfRule>
  </conditionalFormatting>
  <conditionalFormatting sqref="G27">
    <cfRule type="containsText" dxfId="20" priority="10" operator="containsText" text="SELECCIONE SOLAMENTE UN NIVEL">
      <formula>NOT(ISERROR(SEARCH("SELECCIONE SOLAMENTE UN NIVEL",G27)))</formula>
    </cfRule>
  </conditionalFormatting>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5361" r:id="rId4" name="Check Box 1">
              <controlPr defaultSize="0" autoFill="0" autoLine="0" autoPict="0">
                <anchor moveWithCells="1">
                  <from>
                    <xdr:col>6</xdr:col>
                    <xdr:colOff>676275</xdr:colOff>
                    <xdr:row>16</xdr:row>
                    <xdr:rowOff>342900</xdr:rowOff>
                  </from>
                  <to>
                    <xdr:col>6</xdr:col>
                    <xdr:colOff>1019175</xdr:colOff>
                    <xdr:row>16</xdr:row>
                    <xdr:rowOff>695325</xdr:rowOff>
                  </to>
                </anchor>
              </controlPr>
            </control>
          </mc:Choice>
        </mc:AlternateContent>
        <mc:AlternateContent xmlns:mc="http://schemas.openxmlformats.org/markup-compatibility/2006">
          <mc:Choice Requires="x14">
            <control shapeId="15362" r:id="rId5" name="Check Box 2">
              <controlPr defaultSize="0" autoFill="0" autoLine="0" autoPict="0">
                <anchor moveWithCells="1">
                  <from>
                    <xdr:col>6</xdr:col>
                    <xdr:colOff>676275</xdr:colOff>
                    <xdr:row>17</xdr:row>
                    <xdr:rowOff>409575</xdr:rowOff>
                  </from>
                  <to>
                    <xdr:col>6</xdr:col>
                    <xdr:colOff>1019175</xdr:colOff>
                    <xdr:row>17</xdr:row>
                    <xdr:rowOff>752475</xdr:rowOff>
                  </to>
                </anchor>
              </controlPr>
            </control>
          </mc:Choice>
        </mc:AlternateContent>
        <mc:AlternateContent xmlns:mc="http://schemas.openxmlformats.org/markup-compatibility/2006">
          <mc:Choice Requires="x14">
            <control shapeId="15363" r:id="rId6" name="Check Box 3">
              <controlPr defaultSize="0" autoFill="0" autoLine="0" autoPict="0">
                <anchor moveWithCells="1">
                  <from>
                    <xdr:col>6</xdr:col>
                    <xdr:colOff>676275</xdr:colOff>
                    <xdr:row>18</xdr:row>
                    <xdr:rowOff>409575</xdr:rowOff>
                  </from>
                  <to>
                    <xdr:col>6</xdr:col>
                    <xdr:colOff>1019175</xdr:colOff>
                    <xdr:row>18</xdr:row>
                    <xdr:rowOff>752475</xdr:rowOff>
                  </to>
                </anchor>
              </controlPr>
            </control>
          </mc:Choice>
        </mc:AlternateContent>
        <mc:AlternateContent xmlns:mc="http://schemas.openxmlformats.org/markup-compatibility/2006">
          <mc:Choice Requires="x14">
            <control shapeId="15364" r:id="rId7" name="Check Box 4">
              <controlPr defaultSize="0" autoFill="0" autoLine="0" autoPict="0">
                <anchor moveWithCells="1">
                  <from>
                    <xdr:col>6</xdr:col>
                    <xdr:colOff>676275</xdr:colOff>
                    <xdr:row>19</xdr:row>
                    <xdr:rowOff>381000</xdr:rowOff>
                  </from>
                  <to>
                    <xdr:col>6</xdr:col>
                    <xdr:colOff>1019175</xdr:colOff>
                    <xdr:row>19</xdr:row>
                    <xdr:rowOff>733425</xdr:rowOff>
                  </to>
                </anchor>
              </controlPr>
            </control>
          </mc:Choice>
        </mc:AlternateContent>
        <mc:AlternateContent xmlns:mc="http://schemas.openxmlformats.org/markup-compatibility/2006">
          <mc:Choice Requires="x14">
            <control shapeId="5" r:id="rId8" name="Check Box 13">
              <controlPr defaultSize="0" autoFill="0" autoLine="0" autoPict="0">
                <anchor moveWithCells="1">
                  <from>
                    <xdr:col>6</xdr:col>
                    <xdr:colOff>676275</xdr:colOff>
                    <xdr:row>28</xdr:row>
                    <xdr:rowOff>419100</xdr:rowOff>
                  </from>
                  <to>
                    <xdr:col>6</xdr:col>
                    <xdr:colOff>1019175</xdr:colOff>
                    <xdr:row>28</xdr:row>
                    <xdr:rowOff>762000</xdr:rowOff>
                  </to>
                </anchor>
              </controlPr>
            </control>
          </mc:Choice>
        </mc:AlternateContent>
        <mc:AlternateContent xmlns:mc="http://schemas.openxmlformats.org/markup-compatibility/2006">
          <mc:Choice Requires="x14">
            <control shapeId="15683" r:id="rId9" name="Check Box 14">
              <controlPr defaultSize="0" autoFill="0" autoLine="0" autoPict="0">
                <anchor moveWithCells="1">
                  <from>
                    <xdr:col>6</xdr:col>
                    <xdr:colOff>676275</xdr:colOff>
                    <xdr:row>29</xdr:row>
                    <xdr:rowOff>485775</xdr:rowOff>
                  </from>
                  <to>
                    <xdr:col>6</xdr:col>
                    <xdr:colOff>1019175</xdr:colOff>
                    <xdr:row>29</xdr:row>
                    <xdr:rowOff>828675</xdr:rowOff>
                  </to>
                </anchor>
              </controlPr>
            </control>
          </mc:Choice>
        </mc:AlternateContent>
        <mc:AlternateContent xmlns:mc="http://schemas.openxmlformats.org/markup-compatibility/2006">
          <mc:Choice Requires="x14">
            <control shapeId="15684" r:id="rId10" name="Check Box 15">
              <controlPr defaultSize="0" autoFill="0" autoLine="0" autoPict="0">
                <anchor moveWithCells="1">
                  <from>
                    <xdr:col>6</xdr:col>
                    <xdr:colOff>676275</xdr:colOff>
                    <xdr:row>30</xdr:row>
                    <xdr:rowOff>485775</xdr:rowOff>
                  </from>
                  <to>
                    <xdr:col>6</xdr:col>
                    <xdr:colOff>1019175</xdr:colOff>
                    <xdr:row>30</xdr:row>
                    <xdr:rowOff>828675</xdr:rowOff>
                  </to>
                </anchor>
              </controlPr>
            </control>
          </mc:Choice>
        </mc:AlternateContent>
        <mc:AlternateContent xmlns:mc="http://schemas.openxmlformats.org/markup-compatibility/2006">
          <mc:Choice Requires="x14">
            <control shapeId="15685" r:id="rId11" name="Check Box 16">
              <controlPr defaultSize="0" autoFill="0" autoLine="0" autoPict="0">
                <anchor moveWithCells="1">
                  <from>
                    <xdr:col>6</xdr:col>
                    <xdr:colOff>676275</xdr:colOff>
                    <xdr:row>31</xdr:row>
                    <xdr:rowOff>457200</xdr:rowOff>
                  </from>
                  <to>
                    <xdr:col>6</xdr:col>
                    <xdr:colOff>1019175</xdr:colOff>
                    <xdr:row>31</xdr:row>
                    <xdr:rowOff>809625</xdr:rowOff>
                  </to>
                </anchor>
              </controlPr>
            </control>
          </mc:Choice>
        </mc:AlternateContent>
        <mc:AlternateContent xmlns:mc="http://schemas.openxmlformats.org/markup-compatibility/2006">
          <mc:Choice Requires="x14">
            <control shapeId="15686" r:id="rId12" name="Check Box 17">
              <controlPr defaultSize="0" autoFill="0" autoLine="0" autoPict="0">
                <anchor moveWithCells="1">
                  <from>
                    <xdr:col>6</xdr:col>
                    <xdr:colOff>676275</xdr:colOff>
                    <xdr:row>22</xdr:row>
                    <xdr:rowOff>333375</xdr:rowOff>
                  </from>
                  <to>
                    <xdr:col>6</xdr:col>
                    <xdr:colOff>1019175</xdr:colOff>
                    <xdr:row>22</xdr:row>
                    <xdr:rowOff>676275</xdr:rowOff>
                  </to>
                </anchor>
              </controlPr>
            </control>
          </mc:Choice>
        </mc:AlternateContent>
        <mc:AlternateContent xmlns:mc="http://schemas.openxmlformats.org/markup-compatibility/2006">
          <mc:Choice Requires="x14">
            <control shapeId="15687" r:id="rId13" name="Check Box 18">
              <controlPr defaultSize="0" autoFill="0" autoLine="0" autoPict="0">
                <anchor moveWithCells="1">
                  <from>
                    <xdr:col>6</xdr:col>
                    <xdr:colOff>676275</xdr:colOff>
                    <xdr:row>23</xdr:row>
                    <xdr:rowOff>409575</xdr:rowOff>
                  </from>
                  <to>
                    <xdr:col>6</xdr:col>
                    <xdr:colOff>1019175</xdr:colOff>
                    <xdr:row>23</xdr:row>
                    <xdr:rowOff>752475</xdr:rowOff>
                  </to>
                </anchor>
              </controlPr>
            </control>
          </mc:Choice>
        </mc:AlternateContent>
        <mc:AlternateContent xmlns:mc="http://schemas.openxmlformats.org/markup-compatibility/2006">
          <mc:Choice Requires="x14">
            <control shapeId="15688" r:id="rId14" name="Check Box 19">
              <controlPr defaultSize="0" autoFill="0" autoLine="0" autoPict="0">
                <anchor moveWithCells="1">
                  <from>
                    <xdr:col>6</xdr:col>
                    <xdr:colOff>676275</xdr:colOff>
                    <xdr:row>24</xdr:row>
                    <xdr:rowOff>390525</xdr:rowOff>
                  </from>
                  <to>
                    <xdr:col>6</xdr:col>
                    <xdr:colOff>1019175</xdr:colOff>
                    <xdr:row>24</xdr:row>
                    <xdr:rowOff>733425</xdr:rowOff>
                  </to>
                </anchor>
              </controlPr>
            </control>
          </mc:Choice>
        </mc:AlternateContent>
        <mc:AlternateContent xmlns:mc="http://schemas.openxmlformats.org/markup-compatibility/2006">
          <mc:Choice Requires="x14">
            <control shapeId="15689" r:id="rId15" name="Check Box 20">
              <controlPr defaultSize="0" autoFill="0" autoLine="0" autoPict="0">
                <anchor moveWithCells="1">
                  <from>
                    <xdr:col>6</xdr:col>
                    <xdr:colOff>676275</xdr:colOff>
                    <xdr:row>25</xdr:row>
                    <xdr:rowOff>371475</xdr:rowOff>
                  </from>
                  <to>
                    <xdr:col>6</xdr:col>
                    <xdr:colOff>1019175</xdr:colOff>
                    <xdr:row>25</xdr:row>
                    <xdr:rowOff>714375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37"/>
  <sheetViews>
    <sheetView showGridLines="0" topLeftCell="A28" zoomScaleNormal="100" workbookViewId="0"/>
  </sheetViews>
  <sheetFormatPr baseColWidth="10" defaultColWidth="0" defaultRowHeight="22.35" customHeight="1"/>
  <cols>
    <col min="1" max="1" width="19.125" style="7" customWidth="1"/>
    <col min="2" max="3" width="19.625" style="7" customWidth="1"/>
    <col min="4" max="4" width="31.375" style="7" customWidth="1"/>
    <col min="5" max="5" width="28.125" style="7" customWidth="1"/>
    <col min="6" max="6" width="60.375" style="58" customWidth="1"/>
    <col min="7" max="7" width="22.375" style="7" customWidth="1"/>
    <col min="8" max="8" width="11.375" style="1" customWidth="1"/>
    <col min="9" max="9" width="11.375" style="1" hidden="1" customWidth="1"/>
    <col min="10" max="10" width="11.375" style="2" hidden="1" customWidth="1"/>
    <col min="11" max="12" width="11.375" style="1" hidden="1" customWidth="1"/>
    <col min="13" max="24" width="11.375" style="7" hidden="1" customWidth="1"/>
    <col min="25" max="25" width="11.375" style="12" hidden="1" customWidth="1"/>
    <col min="26" max="16384" width="11.375" style="7" hidden="1"/>
  </cols>
  <sheetData>
    <row r="1" spans="1:25" s="1" customFormat="1" ht="22.35" customHeight="1">
      <c r="A1" s="31"/>
      <c r="B1" s="149" t="s">
        <v>528</v>
      </c>
      <c r="C1" s="149"/>
      <c r="D1" s="149"/>
      <c r="E1" s="149"/>
      <c r="F1" s="149"/>
      <c r="G1" s="149"/>
      <c r="J1" s="2"/>
      <c r="Y1" s="12"/>
    </row>
    <row r="2" spans="1:25" s="1" customFormat="1" ht="14.25" customHeight="1">
      <c r="A2" s="31"/>
      <c r="B2" s="149"/>
      <c r="C2" s="149"/>
      <c r="D2" s="149"/>
      <c r="E2" s="149"/>
      <c r="F2" s="149"/>
      <c r="G2" s="149"/>
      <c r="J2" s="2"/>
      <c r="Y2" s="12"/>
    </row>
    <row r="3" spans="1:25" s="1" customFormat="1" ht="14.25" customHeight="1">
      <c r="A3" s="31"/>
      <c r="B3" s="149"/>
      <c r="C3" s="149"/>
      <c r="D3" s="149"/>
      <c r="E3" s="149"/>
      <c r="F3" s="149"/>
      <c r="G3" s="149"/>
      <c r="J3" s="2"/>
      <c r="Y3" s="12"/>
    </row>
    <row r="4" spans="1:25" customFormat="1" ht="3" customHeight="1">
      <c r="A4" s="81"/>
      <c r="B4" s="81"/>
      <c r="C4" s="81"/>
      <c r="D4" s="82"/>
      <c r="E4" s="81"/>
      <c r="F4" s="82"/>
      <c r="G4" s="83"/>
    </row>
    <row r="5" spans="1:25" s="1" customFormat="1" ht="15">
      <c r="A5" s="3" t="s">
        <v>0</v>
      </c>
      <c r="B5" s="3"/>
      <c r="C5" s="3" t="s">
        <v>1</v>
      </c>
      <c r="D5" s="4" t="s">
        <v>31</v>
      </c>
      <c r="E5" s="3" t="s">
        <v>32</v>
      </c>
      <c r="F5" s="44"/>
      <c r="G5" s="6" t="s">
        <v>2</v>
      </c>
      <c r="J5" s="2"/>
      <c r="Y5" s="12"/>
    </row>
    <row r="6" spans="1:25" s="1" customFormat="1" ht="15">
      <c r="A6" s="3" t="s">
        <v>3</v>
      </c>
      <c r="B6" s="3"/>
      <c r="C6" s="3"/>
      <c r="D6" s="4" t="s">
        <v>4</v>
      </c>
      <c r="E6" s="5"/>
      <c r="F6" s="44"/>
      <c r="G6" s="85" t="s">
        <v>5</v>
      </c>
      <c r="J6" s="2"/>
      <c r="Y6" s="12"/>
    </row>
    <row r="7" spans="1:25" s="1" customFormat="1" ht="15">
      <c r="A7" s="3" t="s">
        <v>6</v>
      </c>
      <c r="B7" s="3"/>
      <c r="C7" s="3"/>
      <c r="D7" s="4" t="s">
        <v>7</v>
      </c>
      <c r="E7" s="3"/>
      <c r="F7" s="32"/>
      <c r="G7" s="6"/>
      <c r="J7" s="2"/>
      <c r="Y7" s="12"/>
    </row>
    <row r="8" spans="1:25" ht="14.25"/>
    <row r="9" spans="1:25" ht="14.25"/>
    <row r="10" spans="1:25" ht="21.75" customHeight="1">
      <c r="A10" s="151" t="s">
        <v>8</v>
      </c>
      <c r="B10" s="152"/>
      <c r="C10" s="152"/>
      <c r="D10" s="152"/>
      <c r="E10" s="152"/>
      <c r="F10" s="152"/>
      <c r="G10" s="153"/>
    </row>
    <row r="11" spans="1:25" ht="78.599999999999994" customHeight="1">
      <c r="A11" s="131" t="s">
        <v>83</v>
      </c>
      <c r="B11" s="131"/>
      <c r="C11" s="131"/>
      <c r="D11" s="131"/>
      <c r="E11" s="131"/>
      <c r="F11" s="131"/>
      <c r="G11" s="131"/>
    </row>
    <row r="12" spans="1:25" ht="20.100000000000001" customHeight="1">
      <c r="A12" s="151" t="s">
        <v>16</v>
      </c>
      <c r="B12" s="152"/>
      <c r="C12" s="152"/>
      <c r="D12" s="152"/>
      <c r="E12" s="152"/>
      <c r="F12" s="152"/>
      <c r="G12" s="153"/>
    </row>
    <row r="13" spans="1:25" ht="74.099999999999994" customHeight="1">
      <c r="A13" s="155" t="s">
        <v>110</v>
      </c>
      <c r="B13" s="155"/>
      <c r="C13" s="155"/>
      <c r="D13" s="155"/>
      <c r="E13" s="155"/>
      <c r="F13" s="155"/>
      <c r="G13" s="155"/>
    </row>
    <row r="14" spans="1:25" ht="21.75" customHeight="1">
      <c r="A14" s="154" t="s">
        <v>109</v>
      </c>
      <c r="B14" s="154"/>
      <c r="C14" s="154"/>
      <c r="D14" s="154"/>
      <c r="E14" s="154"/>
      <c r="F14" s="154"/>
      <c r="G14" s="154"/>
    </row>
    <row r="15" spans="1:25" ht="59.45" customHeight="1">
      <c r="A15" s="150" t="s">
        <v>111</v>
      </c>
      <c r="B15" s="150"/>
      <c r="C15" s="150"/>
      <c r="D15" s="150"/>
      <c r="E15" s="150"/>
      <c r="F15" s="150"/>
      <c r="G15" s="9" t="str">
        <f>IF(COUNTIF(G17:G20,TRUE)&gt;1,"SELECCIONE SOLAMENTE UN NIVEL","Marque la opción que describa mejor la situación actual del proceso de evaluación del desempeño")</f>
        <v>Marque la opción que describa mejor la situación actual del proceso de evaluación del desempeño</v>
      </c>
      <c r="M15" s="10"/>
    </row>
    <row r="16" spans="1:25" ht="21.75" customHeight="1">
      <c r="A16" s="62" t="s">
        <v>9</v>
      </c>
      <c r="B16" s="148" t="s">
        <v>10</v>
      </c>
      <c r="C16" s="148"/>
      <c r="D16" s="148" t="s">
        <v>11</v>
      </c>
      <c r="E16" s="148"/>
      <c r="F16" s="63" t="s">
        <v>12</v>
      </c>
      <c r="G16" s="64"/>
    </row>
    <row r="17" spans="1:14" ht="110.45" customHeight="1">
      <c r="A17" s="76" t="str">
        <f>+'Guía de uso'!$AA$7</f>
        <v>Nivel 1 = Inicial</v>
      </c>
      <c r="B17" s="131" t="s">
        <v>420</v>
      </c>
      <c r="C17" s="131"/>
      <c r="D17" s="131" t="s">
        <v>421</v>
      </c>
      <c r="E17" s="131"/>
      <c r="F17" s="61" t="s">
        <v>422</v>
      </c>
      <c r="G17" s="11" t="b">
        <v>0</v>
      </c>
      <c r="J17" s="2">
        <f>+IF(G17=TRUE,'Guía de uso'!$Y$7,0)</f>
        <v>0</v>
      </c>
      <c r="M17" s="10"/>
    </row>
    <row r="18" spans="1:14" ht="110.45" customHeight="1">
      <c r="A18" s="76" t="str">
        <f>+'Guía de uso'!$AA$8</f>
        <v>Nivel 2 = Repetible</v>
      </c>
      <c r="B18" s="131" t="s">
        <v>424</v>
      </c>
      <c r="C18" s="131"/>
      <c r="D18" s="131" t="s">
        <v>425</v>
      </c>
      <c r="E18" s="131"/>
      <c r="F18" s="61" t="s">
        <v>426</v>
      </c>
      <c r="G18" s="11" t="b">
        <v>0</v>
      </c>
      <c r="J18" s="2">
        <f>+IF(G18=TRUE,'Guía de uso'!$Y$8,0)</f>
        <v>0</v>
      </c>
      <c r="M18" s="10"/>
    </row>
    <row r="19" spans="1:14" ht="110.45" customHeight="1">
      <c r="A19" s="76" t="str">
        <f>+'Guía de uso'!$AA$9</f>
        <v>Nivel 3 = Definido</v>
      </c>
      <c r="B19" s="131" t="s">
        <v>428</v>
      </c>
      <c r="C19" s="131"/>
      <c r="D19" s="131" t="s">
        <v>429</v>
      </c>
      <c r="E19" s="131"/>
      <c r="F19" s="61" t="s">
        <v>430</v>
      </c>
      <c r="G19" s="11" t="b">
        <v>1</v>
      </c>
      <c r="J19" s="2">
        <f>+IF(G19=TRUE,'Guía de uso'!$Y$9,0)</f>
        <v>3</v>
      </c>
      <c r="M19" s="10"/>
    </row>
    <row r="20" spans="1:14" ht="110.45" customHeight="1">
      <c r="A20" s="76" t="str">
        <f>+'Guía de uso'!$AA$10</f>
        <v>Nivel 4 = Gestionado</v>
      </c>
      <c r="B20" s="131" t="s">
        <v>432</v>
      </c>
      <c r="C20" s="131"/>
      <c r="D20" s="131" t="s">
        <v>433</v>
      </c>
      <c r="E20" s="131"/>
      <c r="F20" s="61" t="s">
        <v>434</v>
      </c>
      <c r="G20" s="11" t="b">
        <v>0</v>
      </c>
      <c r="J20" s="2">
        <f>+IF(G20=TRUE,'Guía de uso'!$Y$10,0)</f>
        <v>0</v>
      </c>
      <c r="M20" s="10"/>
    </row>
    <row r="21" spans="1:14" ht="67.5" customHeight="1">
      <c r="A21" s="150" t="s">
        <v>112</v>
      </c>
      <c r="B21" s="150"/>
      <c r="C21" s="150"/>
      <c r="D21" s="150"/>
      <c r="E21" s="150"/>
      <c r="F21" s="150"/>
      <c r="G21" s="9" t="str">
        <f>IF(COUNTIF(G23:G26,TRUE)&gt;1,"SELECCIONE SOLAMENTE UN NIVEL","Marque la opción que describa mejor la situación actual del proceso de evaluación del desempeño")</f>
        <v>Marque la opción que describa mejor la situación actual del proceso de evaluación del desempeño</v>
      </c>
      <c r="M21" s="10"/>
    </row>
    <row r="22" spans="1:14" ht="21.75" customHeight="1">
      <c r="A22" s="62" t="s">
        <v>9</v>
      </c>
      <c r="B22" s="148" t="s">
        <v>10</v>
      </c>
      <c r="C22" s="148"/>
      <c r="D22" s="148" t="s">
        <v>11</v>
      </c>
      <c r="E22" s="148"/>
      <c r="F22" s="63" t="s">
        <v>12</v>
      </c>
      <c r="G22" s="64"/>
    </row>
    <row r="23" spans="1:14" ht="98.1" customHeight="1">
      <c r="A23" s="76" t="str">
        <f>+'Guía de uso'!$AA$7</f>
        <v>Nivel 1 = Inicial</v>
      </c>
      <c r="B23" s="131" t="s">
        <v>436</v>
      </c>
      <c r="C23" s="131"/>
      <c r="D23" s="131" t="s">
        <v>437</v>
      </c>
      <c r="E23" s="131"/>
      <c r="F23" s="61" t="s">
        <v>438</v>
      </c>
      <c r="G23" s="11" t="b">
        <v>0</v>
      </c>
      <c r="J23" s="2">
        <f>+IF(G23=TRUE,'Guía de uso'!$Y$7,0)</f>
        <v>0</v>
      </c>
      <c r="N23" s="59"/>
    </row>
    <row r="24" spans="1:14" ht="98.1" customHeight="1">
      <c r="A24" s="76" t="str">
        <f>+'Guía de uso'!$AA$8</f>
        <v>Nivel 2 = Repetible</v>
      </c>
      <c r="B24" s="131" t="s">
        <v>440</v>
      </c>
      <c r="C24" s="131"/>
      <c r="D24" s="131" t="s">
        <v>441</v>
      </c>
      <c r="E24" s="131"/>
      <c r="F24" s="61" t="s">
        <v>442</v>
      </c>
      <c r="G24" s="11" t="b">
        <v>1</v>
      </c>
      <c r="J24" s="2">
        <f>+IF(G24=TRUE,'Guía de uso'!$Y$8,0)</f>
        <v>2</v>
      </c>
      <c r="N24" s="59"/>
    </row>
    <row r="25" spans="1:14" ht="114" customHeight="1">
      <c r="A25" s="76" t="str">
        <f>+'Guía de uso'!$AA$9</f>
        <v>Nivel 3 = Definido</v>
      </c>
      <c r="B25" s="131" t="s">
        <v>444</v>
      </c>
      <c r="C25" s="131"/>
      <c r="D25" s="131" t="s">
        <v>445</v>
      </c>
      <c r="E25" s="131"/>
      <c r="F25" s="61" t="s">
        <v>430</v>
      </c>
      <c r="G25" s="11" t="b">
        <v>0</v>
      </c>
      <c r="J25" s="2">
        <f>+IF(G25=TRUE,'Guía de uso'!$Y$9,0)</f>
        <v>0</v>
      </c>
      <c r="N25" s="59"/>
    </row>
    <row r="26" spans="1:14" ht="114" customHeight="1">
      <c r="A26" s="76" t="str">
        <f>+'Guía de uso'!$AA$10</f>
        <v>Nivel 4 = Gestionado</v>
      </c>
      <c r="B26" s="131" t="s">
        <v>447</v>
      </c>
      <c r="C26" s="131"/>
      <c r="D26" s="131" t="s">
        <v>448</v>
      </c>
      <c r="E26" s="131"/>
      <c r="F26" s="61" t="s">
        <v>449</v>
      </c>
      <c r="G26" s="11" t="b">
        <v>0</v>
      </c>
      <c r="J26" s="2">
        <f>+IF(G26=TRUE,'Guía de uso'!$Y$10,0)</f>
        <v>0</v>
      </c>
      <c r="N26" s="59"/>
    </row>
    <row r="27" spans="1:14" ht="75" customHeight="1">
      <c r="A27" s="150" t="s">
        <v>113</v>
      </c>
      <c r="B27" s="150"/>
      <c r="C27" s="150"/>
      <c r="D27" s="150"/>
      <c r="E27" s="150"/>
      <c r="F27" s="150"/>
      <c r="G27" s="9" t="str">
        <f>IF(COUNTIF(G29:G32,TRUE)&gt;1,"SELECCIONE SOLAMENTE UN NIVEL","Marque la opción que describa mejor la situación actual del proceso de evaluación del desempeño")</f>
        <v>Marque la opción que describa mejor la situación actual del proceso de evaluación del desempeño</v>
      </c>
      <c r="M27" s="10"/>
    </row>
    <row r="28" spans="1:14" ht="21.75" customHeight="1">
      <c r="A28" s="62" t="s">
        <v>9</v>
      </c>
      <c r="B28" s="148" t="s">
        <v>10</v>
      </c>
      <c r="C28" s="148"/>
      <c r="D28" s="148" t="s">
        <v>11</v>
      </c>
      <c r="E28" s="148"/>
      <c r="F28" s="63" t="s">
        <v>12</v>
      </c>
      <c r="G28" s="64"/>
    </row>
    <row r="29" spans="1:14" ht="98.1" customHeight="1">
      <c r="A29" s="76" t="str">
        <f>+'Guía de uso'!$AA$7</f>
        <v>Nivel 1 = Inicial</v>
      </c>
      <c r="B29" s="131" t="s">
        <v>451</v>
      </c>
      <c r="C29" s="131"/>
      <c r="D29" s="131" t="s">
        <v>452</v>
      </c>
      <c r="E29" s="131"/>
      <c r="F29" s="61" t="s">
        <v>453</v>
      </c>
      <c r="G29" s="11" t="b">
        <v>0</v>
      </c>
      <c r="I29" s="50"/>
      <c r="J29" s="2">
        <f>+IF(G29=TRUE,'Guía de uso'!$Y$7,0)</f>
        <v>0</v>
      </c>
      <c r="M29" s="10"/>
    </row>
    <row r="30" spans="1:14" ht="98.1" customHeight="1">
      <c r="A30" s="76" t="str">
        <f>+'Guía de uso'!$AA$8</f>
        <v>Nivel 2 = Repetible</v>
      </c>
      <c r="B30" s="131" t="s">
        <v>455</v>
      </c>
      <c r="C30" s="131"/>
      <c r="D30" s="131" t="s">
        <v>456</v>
      </c>
      <c r="E30" s="131"/>
      <c r="F30" s="61" t="s">
        <v>457</v>
      </c>
      <c r="G30" s="11" t="b">
        <v>1</v>
      </c>
      <c r="I30" s="50"/>
      <c r="J30" s="2">
        <f>+IF(G30=TRUE,'Guía de uso'!$Y$8,0)</f>
        <v>2</v>
      </c>
      <c r="M30" s="10"/>
    </row>
    <row r="31" spans="1:14" ht="114.6" customHeight="1">
      <c r="A31" s="76" t="str">
        <f>+'Guía de uso'!$AA$9</f>
        <v>Nivel 3 = Definido</v>
      </c>
      <c r="B31" s="131" t="s">
        <v>459</v>
      </c>
      <c r="C31" s="131"/>
      <c r="D31" s="131" t="s">
        <v>460</v>
      </c>
      <c r="E31" s="131"/>
      <c r="F31" s="61" t="s">
        <v>430</v>
      </c>
      <c r="G31" s="11" t="b">
        <v>0</v>
      </c>
      <c r="I31" s="50"/>
      <c r="J31" s="2">
        <f>+IF(G31=TRUE,'Guía de uso'!$Y$9,0)</f>
        <v>0</v>
      </c>
      <c r="M31" s="10"/>
    </row>
    <row r="32" spans="1:14" ht="114.6" customHeight="1">
      <c r="A32" s="76" t="str">
        <f>+'Guía de uso'!$AA$10</f>
        <v>Nivel 4 = Gestionado</v>
      </c>
      <c r="B32" s="131" t="s">
        <v>462</v>
      </c>
      <c r="C32" s="131"/>
      <c r="D32" s="131" t="s">
        <v>463</v>
      </c>
      <c r="E32" s="131"/>
      <c r="F32" s="61" t="s">
        <v>464</v>
      </c>
      <c r="G32" s="11" t="b">
        <v>0</v>
      </c>
      <c r="I32" s="50"/>
      <c r="J32" s="2">
        <f>+IF(G32=TRUE,'Guía de uso'!$Y$10,0)</f>
        <v>0</v>
      </c>
      <c r="M32" s="10"/>
    </row>
    <row r="33" spans="1:25" ht="9.6" customHeight="1"/>
    <row r="34" spans="1:25" ht="29.1" customHeight="1">
      <c r="A34" s="165" t="s">
        <v>13</v>
      </c>
      <c r="B34" s="166"/>
      <c r="C34" s="166"/>
      <c r="D34" s="166"/>
      <c r="E34" s="166"/>
      <c r="F34" s="166"/>
      <c r="G34" s="166"/>
      <c r="L34" s="7"/>
    </row>
    <row r="35" spans="1:25" ht="24" customHeight="1">
      <c r="A35" s="156"/>
      <c r="B35" s="157"/>
      <c r="C35" s="157"/>
      <c r="D35" s="157"/>
      <c r="E35" s="157"/>
      <c r="F35" s="157"/>
      <c r="G35" s="158"/>
    </row>
    <row r="36" spans="1:25" s="1" customFormat="1" ht="24" customHeight="1">
      <c r="A36" s="159"/>
      <c r="B36" s="160"/>
      <c r="C36" s="160"/>
      <c r="D36" s="160"/>
      <c r="E36" s="160"/>
      <c r="F36" s="160"/>
      <c r="G36" s="161"/>
      <c r="J36" s="2"/>
      <c r="M36" s="7"/>
      <c r="Y36" s="12"/>
    </row>
    <row r="37" spans="1:25" s="1" customFormat="1" ht="24" customHeight="1">
      <c r="A37" s="162"/>
      <c r="B37" s="163"/>
      <c r="C37" s="163"/>
      <c r="D37" s="163"/>
      <c r="E37" s="163"/>
      <c r="F37" s="163"/>
      <c r="G37" s="164"/>
      <c r="J37" s="2"/>
      <c r="M37" s="7"/>
      <c r="Y37" s="12"/>
    </row>
  </sheetData>
  <mergeCells count="41">
    <mergeCell ref="A14:G14"/>
    <mergeCell ref="B22:C22"/>
    <mergeCell ref="D22:E22"/>
    <mergeCell ref="A15:F15"/>
    <mergeCell ref="B16:C16"/>
    <mergeCell ref="D16:E16"/>
    <mergeCell ref="B17:C17"/>
    <mergeCell ref="D17:E17"/>
    <mergeCell ref="B18:C18"/>
    <mergeCell ref="D18:E18"/>
    <mergeCell ref="B19:C19"/>
    <mergeCell ref="D19:E19"/>
    <mergeCell ref="D20:E20"/>
    <mergeCell ref="B1:G3"/>
    <mergeCell ref="A10:G10"/>
    <mergeCell ref="A11:G11"/>
    <mergeCell ref="A12:G12"/>
    <mergeCell ref="A13:G13"/>
    <mergeCell ref="A34:G34"/>
    <mergeCell ref="A35:G37"/>
    <mergeCell ref="B29:C29"/>
    <mergeCell ref="D29:E29"/>
    <mergeCell ref="A27:F27"/>
    <mergeCell ref="B28:C28"/>
    <mergeCell ref="D28:E28"/>
    <mergeCell ref="B32:C32"/>
    <mergeCell ref="D32:E32"/>
    <mergeCell ref="D30:E30"/>
    <mergeCell ref="D31:E31"/>
    <mergeCell ref="B26:C26"/>
    <mergeCell ref="B30:C30"/>
    <mergeCell ref="B31:C31"/>
    <mergeCell ref="B20:C20"/>
    <mergeCell ref="A21:F21"/>
    <mergeCell ref="B23:C23"/>
    <mergeCell ref="B24:C24"/>
    <mergeCell ref="D23:E23"/>
    <mergeCell ref="B25:C25"/>
    <mergeCell ref="D24:E24"/>
    <mergeCell ref="D25:E25"/>
    <mergeCell ref="D26:E26"/>
  </mergeCells>
  <conditionalFormatting sqref="A17:B20 D17:D20 F17:F20">
    <cfRule type="expression" dxfId="19" priority="1">
      <formula>$G17=TRUE</formula>
    </cfRule>
  </conditionalFormatting>
  <conditionalFormatting sqref="A23:B26 D23:D26 F23:F26">
    <cfRule type="expression" dxfId="18" priority="2">
      <formula>$G23=TRUE</formula>
    </cfRule>
  </conditionalFormatting>
  <conditionalFormatting sqref="A29:B32 D29:D32 F29:F32">
    <cfRule type="expression" dxfId="17" priority="3">
      <formula>$G29=TRUE</formula>
    </cfRule>
  </conditionalFormatting>
  <conditionalFormatting sqref="G15">
    <cfRule type="containsText" dxfId="16" priority="20" operator="containsText" text="SELECCIONE SOLAMENTE UN NIVEL">
      <formula>NOT(ISERROR(SEARCH("SELECCIONE SOLAMENTE UN NIVEL",G15)))</formula>
    </cfRule>
  </conditionalFormatting>
  <conditionalFormatting sqref="G21">
    <cfRule type="containsText" dxfId="15" priority="8" operator="containsText" text="SELECCIONE SOLAMENTE UN NIVEL">
      <formula>NOT(ISERROR(SEARCH("SELECCIONE SOLAMENTE UN NIVEL",G21)))</formula>
    </cfRule>
  </conditionalFormatting>
  <conditionalFormatting sqref="G27">
    <cfRule type="containsText" dxfId="14" priority="7" operator="containsText" text="SELECCIONE SOLAMENTE UN NIVEL">
      <formula>NOT(ISERROR(SEARCH("SELECCIONE SOLAMENTE UN NIVEL",G27)))</formula>
    </cfRule>
  </conditionalFormatting>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Check Box 1">
              <controlPr defaultSize="0" autoFill="0" autoLine="0" autoPict="0">
                <anchor moveWithCells="1">
                  <from>
                    <xdr:col>6</xdr:col>
                    <xdr:colOff>676275</xdr:colOff>
                    <xdr:row>16</xdr:row>
                    <xdr:rowOff>342900</xdr:rowOff>
                  </from>
                  <to>
                    <xdr:col>6</xdr:col>
                    <xdr:colOff>1019175</xdr:colOff>
                    <xdr:row>16</xdr:row>
                    <xdr:rowOff>695325</xdr:rowOff>
                  </to>
                </anchor>
              </controlPr>
            </control>
          </mc:Choice>
        </mc:AlternateContent>
        <mc:AlternateContent xmlns:mc="http://schemas.openxmlformats.org/markup-compatibility/2006">
          <mc:Choice Requires="x14">
            <control shapeId="16386" r:id="rId5" name="Check Box 2">
              <controlPr defaultSize="0" autoFill="0" autoLine="0" autoPict="0">
                <anchor moveWithCells="1">
                  <from>
                    <xdr:col>6</xdr:col>
                    <xdr:colOff>676275</xdr:colOff>
                    <xdr:row>17</xdr:row>
                    <xdr:rowOff>409575</xdr:rowOff>
                  </from>
                  <to>
                    <xdr:col>6</xdr:col>
                    <xdr:colOff>1019175</xdr:colOff>
                    <xdr:row>17</xdr:row>
                    <xdr:rowOff>752475</xdr:rowOff>
                  </to>
                </anchor>
              </controlPr>
            </control>
          </mc:Choice>
        </mc:AlternateContent>
        <mc:AlternateContent xmlns:mc="http://schemas.openxmlformats.org/markup-compatibility/2006">
          <mc:Choice Requires="x14">
            <control shapeId="16387" r:id="rId6" name="Check Box 3">
              <controlPr defaultSize="0" autoFill="0" autoLine="0" autoPict="0">
                <anchor moveWithCells="1">
                  <from>
                    <xdr:col>6</xdr:col>
                    <xdr:colOff>676275</xdr:colOff>
                    <xdr:row>18</xdr:row>
                    <xdr:rowOff>409575</xdr:rowOff>
                  </from>
                  <to>
                    <xdr:col>6</xdr:col>
                    <xdr:colOff>1019175</xdr:colOff>
                    <xdr:row>18</xdr:row>
                    <xdr:rowOff>752475</xdr:rowOff>
                  </to>
                </anchor>
              </controlPr>
            </control>
          </mc:Choice>
        </mc:AlternateContent>
        <mc:AlternateContent xmlns:mc="http://schemas.openxmlformats.org/markup-compatibility/2006">
          <mc:Choice Requires="x14">
            <control shapeId="16388" r:id="rId7" name="Check Box 4">
              <controlPr defaultSize="0" autoFill="0" autoLine="0" autoPict="0">
                <anchor moveWithCells="1">
                  <from>
                    <xdr:col>6</xdr:col>
                    <xdr:colOff>676275</xdr:colOff>
                    <xdr:row>19</xdr:row>
                    <xdr:rowOff>381000</xdr:rowOff>
                  </from>
                  <to>
                    <xdr:col>6</xdr:col>
                    <xdr:colOff>1019175</xdr:colOff>
                    <xdr:row>19</xdr:row>
                    <xdr:rowOff>733425</xdr:rowOff>
                  </to>
                </anchor>
              </controlPr>
            </control>
          </mc:Choice>
        </mc:AlternateContent>
        <mc:AlternateContent xmlns:mc="http://schemas.openxmlformats.org/markup-compatibility/2006">
          <mc:Choice Requires="x14">
            <control shapeId="5" r:id="rId8" name="Check Box 13">
              <controlPr defaultSize="0" autoFill="0" autoLine="0" autoPict="0">
                <anchor moveWithCells="1">
                  <from>
                    <xdr:col>6</xdr:col>
                    <xdr:colOff>676275</xdr:colOff>
                    <xdr:row>28</xdr:row>
                    <xdr:rowOff>419100</xdr:rowOff>
                  </from>
                  <to>
                    <xdr:col>6</xdr:col>
                    <xdr:colOff>1019175</xdr:colOff>
                    <xdr:row>28</xdr:row>
                    <xdr:rowOff>762000</xdr:rowOff>
                  </to>
                </anchor>
              </controlPr>
            </control>
          </mc:Choice>
        </mc:AlternateContent>
        <mc:AlternateContent xmlns:mc="http://schemas.openxmlformats.org/markup-compatibility/2006">
          <mc:Choice Requires="x14">
            <control shapeId="16621" r:id="rId9" name="Check Box 14">
              <controlPr defaultSize="0" autoFill="0" autoLine="0" autoPict="0">
                <anchor moveWithCells="1">
                  <from>
                    <xdr:col>6</xdr:col>
                    <xdr:colOff>676275</xdr:colOff>
                    <xdr:row>29</xdr:row>
                    <xdr:rowOff>485775</xdr:rowOff>
                  </from>
                  <to>
                    <xdr:col>6</xdr:col>
                    <xdr:colOff>1019175</xdr:colOff>
                    <xdr:row>29</xdr:row>
                    <xdr:rowOff>828675</xdr:rowOff>
                  </to>
                </anchor>
              </controlPr>
            </control>
          </mc:Choice>
        </mc:AlternateContent>
        <mc:AlternateContent xmlns:mc="http://schemas.openxmlformats.org/markup-compatibility/2006">
          <mc:Choice Requires="x14">
            <control shapeId="16622" r:id="rId10" name="Check Box 15">
              <controlPr defaultSize="0" autoFill="0" autoLine="0" autoPict="0">
                <anchor moveWithCells="1">
                  <from>
                    <xdr:col>6</xdr:col>
                    <xdr:colOff>676275</xdr:colOff>
                    <xdr:row>30</xdr:row>
                    <xdr:rowOff>485775</xdr:rowOff>
                  </from>
                  <to>
                    <xdr:col>6</xdr:col>
                    <xdr:colOff>1019175</xdr:colOff>
                    <xdr:row>30</xdr:row>
                    <xdr:rowOff>828675</xdr:rowOff>
                  </to>
                </anchor>
              </controlPr>
            </control>
          </mc:Choice>
        </mc:AlternateContent>
        <mc:AlternateContent xmlns:mc="http://schemas.openxmlformats.org/markup-compatibility/2006">
          <mc:Choice Requires="x14">
            <control shapeId="16623" r:id="rId11" name="Check Box 16">
              <controlPr defaultSize="0" autoFill="0" autoLine="0" autoPict="0">
                <anchor moveWithCells="1">
                  <from>
                    <xdr:col>6</xdr:col>
                    <xdr:colOff>676275</xdr:colOff>
                    <xdr:row>31</xdr:row>
                    <xdr:rowOff>457200</xdr:rowOff>
                  </from>
                  <to>
                    <xdr:col>6</xdr:col>
                    <xdr:colOff>1019175</xdr:colOff>
                    <xdr:row>31</xdr:row>
                    <xdr:rowOff>809625</xdr:rowOff>
                  </to>
                </anchor>
              </controlPr>
            </control>
          </mc:Choice>
        </mc:AlternateContent>
        <mc:AlternateContent xmlns:mc="http://schemas.openxmlformats.org/markup-compatibility/2006">
          <mc:Choice Requires="x14">
            <control shapeId="16624" r:id="rId12" name="Check Box 17">
              <controlPr defaultSize="0" autoFill="0" autoLine="0" autoPict="0">
                <anchor moveWithCells="1">
                  <from>
                    <xdr:col>6</xdr:col>
                    <xdr:colOff>676275</xdr:colOff>
                    <xdr:row>22</xdr:row>
                    <xdr:rowOff>333375</xdr:rowOff>
                  </from>
                  <to>
                    <xdr:col>6</xdr:col>
                    <xdr:colOff>1019175</xdr:colOff>
                    <xdr:row>22</xdr:row>
                    <xdr:rowOff>676275</xdr:rowOff>
                  </to>
                </anchor>
              </controlPr>
            </control>
          </mc:Choice>
        </mc:AlternateContent>
        <mc:AlternateContent xmlns:mc="http://schemas.openxmlformats.org/markup-compatibility/2006">
          <mc:Choice Requires="x14">
            <control shapeId="16631" r:id="rId13" name="Check Box 18">
              <controlPr defaultSize="0" autoFill="0" autoLine="0" autoPict="0">
                <anchor moveWithCells="1">
                  <from>
                    <xdr:col>6</xdr:col>
                    <xdr:colOff>676275</xdr:colOff>
                    <xdr:row>23</xdr:row>
                    <xdr:rowOff>409575</xdr:rowOff>
                  </from>
                  <to>
                    <xdr:col>6</xdr:col>
                    <xdr:colOff>1019175</xdr:colOff>
                    <xdr:row>23</xdr:row>
                    <xdr:rowOff>752475</xdr:rowOff>
                  </to>
                </anchor>
              </controlPr>
            </control>
          </mc:Choice>
        </mc:AlternateContent>
        <mc:AlternateContent xmlns:mc="http://schemas.openxmlformats.org/markup-compatibility/2006">
          <mc:Choice Requires="x14">
            <control shapeId="16632" r:id="rId14" name="Check Box 19">
              <controlPr defaultSize="0" autoFill="0" autoLine="0" autoPict="0">
                <anchor moveWithCells="1">
                  <from>
                    <xdr:col>6</xdr:col>
                    <xdr:colOff>676275</xdr:colOff>
                    <xdr:row>24</xdr:row>
                    <xdr:rowOff>390525</xdr:rowOff>
                  </from>
                  <to>
                    <xdr:col>6</xdr:col>
                    <xdr:colOff>1019175</xdr:colOff>
                    <xdr:row>24</xdr:row>
                    <xdr:rowOff>733425</xdr:rowOff>
                  </to>
                </anchor>
              </controlPr>
            </control>
          </mc:Choice>
        </mc:AlternateContent>
        <mc:AlternateContent xmlns:mc="http://schemas.openxmlformats.org/markup-compatibility/2006">
          <mc:Choice Requires="x14">
            <control shapeId="16633" r:id="rId15" name="Check Box 20">
              <controlPr defaultSize="0" autoFill="0" autoLine="0" autoPict="0">
                <anchor moveWithCells="1">
                  <from>
                    <xdr:col>6</xdr:col>
                    <xdr:colOff>676275</xdr:colOff>
                    <xdr:row>25</xdr:row>
                    <xdr:rowOff>371475</xdr:rowOff>
                  </from>
                  <to>
                    <xdr:col>6</xdr:col>
                    <xdr:colOff>1019175</xdr:colOff>
                    <xdr:row>25</xdr:row>
                    <xdr:rowOff>714375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31"/>
  <sheetViews>
    <sheetView showGridLines="0" topLeftCell="A22" zoomScaleNormal="100" workbookViewId="0">
      <selection activeCell="B1" sqref="B1:G3"/>
    </sheetView>
  </sheetViews>
  <sheetFormatPr baseColWidth="10" defaultColWidth="0" defaultRowHeight="22.35" customHeight="1"/>
  <cols>
    <col min="1" max="1" width="19.125" style="7" customWidth="1"/>
    <col min="2" max="3" width="19.625" style="7" customWidth="1"/>
    <col min="4" max="4" width="31.375" style="7" customWidth="1"/>
    <col min="5" max="5" width="28.125" style="7" customWidth="1"/>
    <col min="6" max="6" width="60.375" style="58" customWidth="1"/>
    <col min="7" max="7" width="22.375" style="7" customWidth="1"/>
    <col min="8" max="8" width="11.375" style="1" customWidth="1"/>
    <col min="9" max="9" width="11.375" style="1" hidden="1" customWidth="1"/>
    <col min="10" max="10" width="11.375" style="2" hidden="1" customWidth="1"/>
    <col min="11" max="12" width="11.375" style="1" hidden="1" customWidth="1"/>
    <col min="13" max="24" width="11.375" style="7" hidden="1" customWidth="1"/>
    <col min="25" max="25" width="11.375" style="12" hidden="1" customWidth="1"/>
    <col min="26" max="16384" width="11.375" style="7" hidden="1"/>
  </cols>
  <sheetData>
    <row r="1" spans="1:25" s="1" customFormat="1" ht="22.35" customHeight="1">
      <c r="A1" s="31"/>
      <c r="B1" s="149" t="s">
        <v>528</v>
      </c>
      <c r="C1" s="149"/>
      <c r="D1" s="149"/>
      <c r="E1" s="149"/>
      <c r="F1" s="149"/>
      <c r="G1" s="149"/>
      <c r="J1" s="2"/>
      <c r="Y1" s="12"/>
    </row>
    <row r="2" spans="1:25" s="1" customFormat="1" ht="14.25" customHeight="1">
      <c r="A2" s="31"/>
      <c r="B2" s="149"/>
      <c r="C2" s="149"/>
      <c r="D2" s="149"/>
      <c r="E2" s="149"/>
      <c r="F2" s="149"/>
      <c r="G2" s="149"/>
      <c r="J2" s="2"/>
      <c r="Y2" s="12"/>
    </row>
    <row r="3" spans="1:25" s="1" customFormat="1" ht="14.25" customHeight="1">
      <c r="A3" s="31"/>
      <c r="B3" s="149"/>
      <c r="C3" s="149"/>
      <c r="D3" s="149"/>
      <c r="E3" s="149"/>
      <c r="F3" s="149"/>
      <c r="G3" s="149"/>
      <c r="J3" s="2"/>
      <c r="Y3" s="12"/>
    </row>
    <row r="4" spans="1:25" customFormat="1" ht="3" customHeight="1">
      <c r="A4" s="81"/>
      <c r="B4" s="81"/>
      <c r="C4" s="81"/>
      <c r="D4" s="82"/>
      <c r="E4" s="81"/>
      <c r="F4" s="82"/>
      <c r="G4" s="83"/>
    </row>
    <row r="5" spans="1:25" s="1" customFormat="1" ht="15">
      <c r="A5" s="3" t="s">
        <v>0</v>
      </c>
      <c r="B5" s="3"/>
      <c r="C5" s="3" t="s">
        <v>1</v>
      </c>
      <c r="D5" s="4" t="s">
        <v>31</v>
      </c>
      <c r="E5" s="3" t="s">
        <v>32</v>
      </c>
      <c r="F5" s="44"/>
      <c r="G5" s="6" t="s">
        <v>2</v>
      </c>
      <c r="J5" s="2"/>
      <c r="Y5" s="12"/>
    </row>
    <row r="6" spans="1:25" s="1" customFormat="1" ht="15">
      <c r="A6" s="3" t="s">
        <v>3</v>
      </c>
      <c r="B6" s="3"/>
      <c r="C6" s="3"/>
      <c r="D6" s="4" t="s">
        <v>4</v>
      </c>
      <c r="E6" s="5"/>
      <c r="F6" s="44"/>
      <c r="G6" s="85" t="s">
        <v>5</v>
      </c>
      <c r="J6" s="2"/>
      <c r="Y6" s="12"/>
    </row>
    <row r="7" spans="1:25" s="1" customFormat="1" ht="15">
      <c r="A7" s="3" t="s">
        <v>6</v>
      </c>
      <c r="B7" s="3"/>
      <c r="C7" s="3"/>
      <c r="D7" s="4" t="s">
        <v>7</v>
      </c>
      <c r="E7" s="3"/>
      <c r="F7" s="32"/>
      <c r="G7" s="6"/>
      <c r="J7" s="2"/>
      <c r="Y7" s="12"/>
    </row>
    <row r="8" spans="1:25" ht="14.25"/>
    <row r="9" spans="1:25" ht="14.25"/>
    <row r="10" spans="1:25" ht="21.75" customHeight="1">
      <c r="A10" s="151" t="s">
        <v>8</v>
      </c>
      <c r="B10" s="152"/>
      <c r="C10" s="152"/>
      <c r="D10" s="152"/>
      <c r="E10" s="152"/>
      <c r="F10" s="152"/>
      <c r="G10" s="153"/>
    </row>
    <row r="11" spans="1:25" ht="78.599999999999994" customHeight="1">
      <c r="A11" s="131" t="s">
        <v>83</v>
      </c>
      <c r="B11" s="131"/>
      <c r="C11" s="131"/>
      <c r="D11" s="131"/>
      <c r="E11" s="131"/>
      <c r="F11" s="131"/>
      <c r="G11" s="131"/>
    </row>
    <row r="12" spans="1:25" ht="20.100000000000001" customHeight="1">
      <c r="A12" s="151" t="s">
        <v>16</v>
      </c>
      <c r="B12" s="152"/>
      <c r="C12" s="152"/>
      <c r="D12" s="152"/>
      <c r="E12" s="152"/>
      <c r="F12" s="152"/>
      <c r="G12" s="153"/>
    </row>
    <row r="13" spans="1:25" ht="74.099999999999994" customHeight="1">
      <c r="A13" s="155" t="s">
        <v>115</v>
      </c>
      <c r="B13" s="155"/>
      <c r="C13" s="155"/>
      <c r="D13" s="155"/>
      <c r="E13" s="155"/>
      <c r="F13" s="155"/>
      <c r="G13" s="155"/>
    </row>
    <row r="14" spans="1:25" ht="21.75" customHeight="1">
      <c r="A14" s="154" t="s">
        <v>114</v>
      </c>
      <c r="B14" s="154"/>
      <c r="C14" s="154"/>
      <c r="D14" s="154"/>
      <c r="E14" s="154"/>
      <c r="F14" s="154"/>
      <c r="G14" s="154"/>
    </row>
    <row r="15" spans="1:25" ht="59.45" customHeight="1">
      <c r="A15" s="150" t="s">
        <v>116</v>
      </c>
      <c r="B15" s="150"/>
      <c r="C15" s="150"/>
      <c r="D15" s="150"/>
      <c r="E15" s="150"/>
      <c r="F15" s="150"/>
      <c r="G15" s="9" t="str">
        <f>IF(COUNTIF(G17:G20,TRUE)&gt;1,"SELECCIONE SOLAMENTE UN NIVEL","Marque la opción que describa mejor la situación actual del proceso de mejora")</f>
        <v>Marque la opción que describa mejor la situación actual del proceso de mejora</v>
      </c>
      <c r="M15" s="10"/>
    </row>
    <row r="16" spans="1:25" ht="21.75" customHeight="1">
      <c r="A16" s="62" t="s">
        <v>9</v>
      </c>
      <c r="B16" s="148" t="s">
        <v>10</v>
      </c>
      <c r="C16" s="148"/>
      <c r="D16" s="148" t="s">
        <v>11</v>
      </c>
      <c r="E16" s="148"/>
      <c r="F16" s="63" t="s">
        <v>12</v>
      </c>
      <c r="G16" s="64"/>
    </row>
    <row r="17" spans="1:25" ht="110.45" customHeight="1">
      <c r="A17" s="76" t="str">
        <f>+'Guía de uso'!$AA$7</f>
        <v>Nivel 1 = Inicial</v>
      </c>
      <c r="B17" s="131" t="s">
        <v>466</v>
      </c>
      <c r="C17" s="131"/>
      <c r="D17" s="131" t="s">
        <v>467</v>
      </c>
      <c r="E17" s="131"/>
      <c r="F17" s="61" t="s">
        <v>468</v>
      </c>
      <c r="G17" s="11" t="b">
        <v>0</v>
      </c>
      <c r="J17" s="2">
        <f>+IF(G17=TRUE,'Guía de uso'!$Y$7,0)</f>
        <v>0</v>
      </c>
      <c r="M17" s="10"/>
    </row>
    <row r="18" spans="1:25" ht="110.45" customHeight="1">
      <c r="A18" s="76" t="str">
        <f>+'Guía de uso'!$AA$8</f>
        <v>Nivel 2 = Repetible</v>
      </c>
      <c r="B18" s="131" t="s">
        <v>470</v>
      </c>
      <c r="C18" s="131"/>
      <c r="D18" s="131" t="s">
        <v>471</v>
      </c>
      <c r="E18" s="131"/>
      <c r="F18" s="61" t="s">
        <v>472</v>
      </c>
      <c r="G18" s="11" t="b">
        <v>1</v>
      </c>
      <c r="J18" s="2">
        <f>+IF(G18=TRUE,'Guía de uso'!$Y$8,0)</f>
        <v>2</v>
      </c>
      <c r="M18" s="10"/>
    </row>
    <row r="19" spans="1:25" ht="110.45" customHeight="1">
      <c r="A19" s="76" t="str">
        <f>+'Guía de uso'!$AA$9</f>
        <v>Nivel 3 = Definido</v>
      </c>
      <c r="B19" s="131" t="s">
        <v>474</v>
      </c>
      <c r="C19" s="131"/>
      <c r="D19" s="131" t="s">
        <v>475</v>
      </c>
      <c r="E19" s="131"/>
      <c r="F19" s="61" t="s">
        <v>430</v>
      </c>
      <c r="G19" s="11" t="b">
        <v>0</v>
      </c>
      <c r="J19" s="2">
        <f>+IF(G19=TRUE,'Guía de uso'!$Y$9,0)</f>
        <v>0</v>
      </c>
      <c r="M19" s="10"/>
    </row>
    <row r="20" spans="1:25" ht="110.45" customHeight="1">
      <c r="A20" s="76" t="str">
        <f>+'Guía de uso'!$AA$10</f>
        <v>Nivel 4 = Gestionado</v>
      </c>
      <c r="B20" s="131" t="s">
        <v>477</v>
      </c>
      <c r="C20" s="131"/>
      <c r="D20" s="131" t="s">
        <v>478</v>
      </c>
      <c r="E20" s="131"/>
      <c r="F20" s="61" t="s">
        <v>479</v>
      </c>
      <c r="G20" s="11" t="b">
        <v>0</v>
      </c>
      <c r="J20" s="2">
        <f>+IF(G20=TRUE,'Guía de uso'!$Y$10,0)</f>
        <v>0</v>
      </c>
      <c r="M20" s="10"/>
    </row>
    <row r="21" spans="1:25" ht="67.5" customHeight="1">
      <c r="A21" s="150" t="s">
        <v>117</v>
      </c>
      <c r="B21" s="150"/>
      <c r="C21" s="150"/>
      <c r="D21" s="150"/>
      <c r="E21" s="150"/>
      <c r="F21" s="150"/>
      <c r="G21" s="9" t="str">
        <f>IF(COUNTIF(G23:G26,TRUE)&gt;1,"SELECCIONE SOLAMENTE UN NIVEL","Marque la opción que describa mejor la situación actual del proceso de mejora")</f>
        <v>Marque la opción que describa mejor la situación actual del proceso de mejora</v>
      </c>
      <c r="M21" s="10"/>
    </row>
    <row r="22" spans="1:25" ht="21.75" customHeight="1">
      <c r="A22" s="62" t="s">
        <v>9</v>
      </c>
      <c r="B22" s="148" t="s">
        <v>10</v>
      </c>
      <c r="C22" s="148"/>
      <c r="D22" s="148" t="s">
        <v>11</v>
      </c>
      <c r="E22" s="148"/>
      <c r="F22" s="63" t="s">
        <v>12</v>
      </c>
      <c r="G22" s="64"/>
    </row>
    <row r="23" spans="1:25" ht="98.1" customHeight="1">
      <c r="A23" s="76" t="str">
        <f>+'Guía de uso'!$AA$7</f>
        <v>Nivel 1 = Inicial</v>
      </c>
      <c r="B23" s="131" t="s">
        <v>481</v>
      </c>
      <c r="C23" s="131"/>
      <c r="D23" s="131" t="s">
        <v>482</v>
      </c>
      <c r="E23" s="131"/>
      <c r="F23" s="61" t="s">
        <v>483</v>
      </c>
      <c r="G23" s="11" t="b">
        <v>0</v>
      </c>
      <c r="J23" s="2">
        <f>+IF(G23=TRUE,'Guía de uso'!$Y$7,0)</f>
        <v>0</v>
      </c>
      <c r="N23" s="59"/>
    </row>
    <row r="24" spans="1:25" ht="98.1" customHeight="1">
      <c r="A24" s="76" t="str">
        <f>+'Guía de uso'!$AA$8</f>
        <v>Nivel 2 = Repetible</v>
      </c>
      <c r="B24" s="131" t="s">
        <v>485</v>
      </c>
      <c r="C24" s="131"/>
      <c r="D24" s="131" t="s">
        <v>486</v>
      </c>
      <c r="E24" s="131"/>
      <c r="F24" s="61" t="s">
        <v>487</v>
      </c>
      <c r="G24" s="11" t="b">
        <v>1</v>
      </c>
      <c r="J24" s="2">
        <f>+IF(G24=TRUE,'Guía de uso'!$Y$8,0)</f>
        <v>2</v>
      </c>
      <c r="N24" s="59"/>
    </row>
    <row r="25" spans="1:25" ht="114" customHeight="1">
      <c r="A25" s="76" t="str">
        <f>+'Guía de uso'!$AA$9</f>
        <v>Nivel 3 = Definido</v>
      </c>
      <c r="B25" s="131" t="s">
        <v>489</v>
      </c>
      <c r="C25" s="131"/>
      <c r="D25" s="131" t="s">
        <v>490</v>
      </c>
      <c r="E25" s="131"/>
      <c r="F25" s="61" t="s">
        <v>430</v>
      </c>
      <c r="G25" s="11" t="b">
        <v>0</v>
      </c>
      <c r="J25" s="2">
        <f>+IF(G25=TRUE,'Guía de uso'!$Y$9,0)</f>
        <v>0</v>
      </c>
      <c r="N25" s="59"/>
    </row>
    <row r="26" spans="1:25" ht="114" customHeight="1">
      <c r="A26" s="76" t="str">
        <f>+'Guía de uso'!$AA$10</f>
        <v>Nivel 4 = Gestionado</v>
      </c>
      <c r="B26" s="131" t="s">
        <v>492</v>
      </c>
      <c r="C26" s="131"/>
      <c r="D26" s="131" t="s">
        <v>493</v>
      </c>
      <c r="E26" s="131"/>
      <c r="F26" s="61" t="s">
        <v>494</v>
      </c>
      <c r="G26" s="11" t="b">
        <v>0</v>
      </c>
      <c r="J26" s="2">
        <f>+IF(G26=TRUE,'Guía de uso'!$Y$10,0)</f>
        <v>0</v>
      </c>
      <c r="N26" s="59"/>
    </row>
    <row r="27" spans="1:25" ht="9.6" customHeight="1"/>
    <row r="28" spans="1:25" ht="29.1" customHeight="1">
      <c r="A28" s="165" t="s">
        <v>13</v>
      </c>
      <c r="B28" s="166"/>
      <c r="C28" s="166"/>
      <c r="D28" s="166"/>
      <c r="E28" s="166"/>
      <c r="F28" s="166"/>
      <c r="G28" s="166"/>
      <c r="L28" s="7"/>
    </row>
    <row r="29" spans="1:25" ht="24" customHeight="1">
      <c r="A29" s="156"/>
      <c r="B29" s="157"/>
      <c r="C29" s="157"/>
      <c r="D29" s="157"/>
      <c r="E29" s="157"/>
      <c r="F29" s="157"/>
      <c r="G29" s="158"/>
    </row>
    <row r="30" spans="1:25" s="1" customFormat="1" ht="24" customHeight="1">
      <c r="A30" s="159"/>
      <c r="B30" s="160"/>
      <c r="C30" s="160"/>
      <c r="D30" s="160"/>
      <c r="E30" s="160"/>
      <c r="F30" s="160"/>
      <c r="G30" s="161"/>
      <c r="J30" s="2"/>
      <c r="M30" s="7"/>
      <c r="Y30" s="12"/>
    </row>
    <row r="31" spans="1:25" s="1" customFormat="1" ht="24" customHeight="1">
      <c r="A31" s="162"/>
      <c r="B31" s="163"/>
      <c r="C31" s="163"/>
      <c r="D31" s="163"/>
      <c r="E31" s="163"/>
      <c r="F31" s="163"/>
      <c r="G31" s="164"/>
      <c r="J31" s="2"/>
      <c r="M31" s="7"/>
      <c r="Y31" s="12"/>
    </row>
  </sheetData>
  <mergeCells count="30">
    <mergeCell ref="D23:E23"/>
    <mergeCell ref="D24:E24"/>
    <mergeCell ref="D25:E25"/>
    <mergeCell ref="D26:E26"/>
    <mergeCell ref="A14:G14"/>
    <mergeCell ref="B26:C26"/>
    <mergeCell ref="B23:C23"/>
    <mergeCell ref="B24:C24"/>
    <mergeCell ref="B25:C25"/>
    <mergeCell ref="B1:G3"/>
    <mergeCell ref="A10:G10"/>
    <mergeCell ref="A11:G11"/>
    <mergeCell ref="A12:G12"/>
    <mergeCell ref="A13:G13"/>
    <mergeCell ref="A28:G28"/>
    <mergeCell ref="A29:G31"/>
    <mergeCell ref="B22:C22"/>
    <mergeCell ref="D22:E22"/>
    <mergeCell ref="A15:F15"/>
    <mergeCell ref="B16:C16"/>
    <mergeCell ref="D16:E16"/>
    <mergeCell ref="B17:C17"/>
    <mergeCell ref="D17:E17"/>
    <mergeCell ref="B18:C18"/>
    <mergeCell ref="D18:E18"/>
    <mergeCell ref="B19:C19"/>
    <mergeCell ref="D19:E19"/>
    <mergeCell ref="B20:C20"/>
    <mergeCell ref="D20:E20"/>
    <mergeCell ref="A21:F21"/>
  </mergeCells>
  <conditionalFormatting sqref="A17:B20 D17:D20 F17:F20">
    <cfRule type="expression" dxfId="13" priority="2">
      <formula>$G17=TRUE</formula>
    </cfRule>
  </conditionalFormatting>
  <conditionalFormatting sqref="A23:B26 D23:D26 F23:F26">
    <cfRule type="expression" dxfId="12" priority="1">
      <formula>$G23=TRUE</formula>
    </cfRule>
  </conditionalFormatting>
  <conditionalFormatting sqref="G15">
    <cfRule type="containsText" dxfId="11" priority="11" operator="containsText" text="SELECCIONE SOLAMENTE UN NIVEL">
      <formula>NOT(ISERROR(SEARCH("SELECCIONE SOLAMENTE UN NIVEL",G15)))</formula>
    </cfRule>
  </conditionalFormatting>
  <conditionalFormatting sqref="G21">
    <cfRule type="containsText" dxfId="10" priority="5" operator="containsText" text="SELECCIONE SOLAMENTE UN NIVEL">
      <formula>NOT(ISERROR(SEARCH("SELECCIONE SOLAMENTE UN NIVEL",G21)))</formula>
    </cfRule>
  </conditionalFormatting>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8433" r:id="rId4" name="Check Box 1">
              <controlPr defaultSize="0" autoFill="0" autoLine="0" autoPict="0">
                <anchor moveWithCells="1">
                  <from>
                    <xdr:col>6</xdr:col>
                    <xdr:colOff>676275</xdr:colOff>
                    <xdr:row>16</xdr:row>
                    <xdr:rowOff>342900</xdr:rowOff>
                  </from>
                  <to>
                    <xdr:col>6</xdr:col>
                    <xdr:colOff>1019175</xdr:colOff>
                    <xdr:row>16</xdr:row>
                    <xdr:rowOff>695325</xdr:rowOff>
                  </to>
                </anchor>
              </controlPr>
            </control>
          </mc:Choice>
        </mc:AlternateContent>
        <mc:AlternateContent xmlns:mc="http://schemas.openxmlformats.org/markup-compatibility/2006">
          <mc:Choice Requires="x14">
            <control shapeId="18434" r:id="rId5" name="Check Box 2">
              <controlPr defaultSize="0" autoFill="0" autoLine="0" autoPict="0">
                <anchor moveWithCells="1">
                  <from>
                    <xdr:col>6</xdr:col>
                    <xdr:colOff>676275</xdr:colOff>
                    <xdr:row>17</xdr:row>
                    <xdr:rowOff>409575</xdr:rowOff>
                  </from>
                  <to>
                    <xdr:col>6</xdr:col>
                    <xdr:colOff>1019175</xdr:colOff>
                    <xdr:row>17</xdr:row>
                    <xdr:rowOff>752475</xdr:rowOff>
                  </to>
                </anchor>
              </controlPr>
            </control>
          </mc:Choice>
        </mc:AlternateContent>
        <mc:AlternateContent xmlns:mc="http://schemas.openxmlformats.org/markup-compatibility/2006">
          <mc:Choice Requires="x14">
            <control shapeId="18435" r:id="rId6" name="Check Box 3">
              <controlPr defaultSize="0" autoFill="0" autoLine="0" autoPict="0">
                <anchor moveWithCells="1">
                  <from>
                    <xdr:col>6</xdr:col>
                    <xdr:colOff>676275</xdr:colOff>
                    <xdr:row>18</xdr:row>
                    <xdr:rowOff>409575</xdr:rowOff>
                  </from>
                  <to>
                    <xdr:col>6</xdr:col>
                    <xdr:colOff>1019175</xdr:colOff>
                    <xdr:row>18</xdr:row>
                    <xdr:rowOff>752475</xdr:rowOff>
                  </to>
                </anchor>
              </controlPr>
            </control>
          </mc:Choice>
        </mc:AlternateContent>
        <mc:AlternateContent xmlns:mc="http://schemas.openxmlformats.org/markup-compatibility/2006">
          <mc:Choice Requires="x14">
            <control shapeId="18436" r:id="rId7" name="Check Box 4">
              <controlPr defaultSize="0" autoFill="0" autoLine="0" autoPict="0">
                <anchor moveWithCells="1">
                  <from>
                    <xdr:col>6</xdr:col>
                    <xdr:colOff>676275</xdr:colOff>
                    <xdr:row>19</xdr:row>
                    <xdr:rowOff>381000</xdr:rowOff>
                  </from>
                  <to>
                    <xdr:col>6</xdr:col>
                    <xdr:colOff>1019175</xdr:colOff>
                    <xdr:row>19</xdr:row>
                    <xdr:rowOff>733425</xdr:rowOff>
                  </to>
                </anchor>
              </controlPr>
            </control>
          </mc:Choice>
        </mc:AlternateContent>
        <mc:AlternateContent xmlns:mc="http://schemas.openxmlformats.org/markup-compatibility/2006">
          <mc:Choice Requires="x14">
            <control shapeId="5" r:id="rId8" name="Check Box 9">
              <controlPr defaultSize="0" autoFill="0" autoLine="0" autoPict="0">
                <anchor moveWithCells="1">
                  <from>
                    <xdr:col>6</xdr:col>
                    <xdr:colOff>676275</xdr:colOff>
                    <xdr:row>22</xdr:row>
                    <xdr:rowOff>333375</xdr:rowOff>
                  </from>
                  <to>
                    <xdr:col>6</xdr:col>
                    <xdr:colOff>1019175</xdr:colOff>
                    <xdr:row>22</xdr:row>
                    <xdr:rowOff>676275</xdr:rowOff>
                  </to>
                </anchor>
              </controlPr>
            </control>
          </mc:Choice>
        </mc:AlternateContent>
        <mc:AlternateContent xmlns:mc="http://schemas.openxmlformats.org/markup-compatibility/2006">
          <mc:Choice Requires="x14">
            <control shapeId="18671" r:id="rId9" name="Check Box 10">
              <controlPr defaultSize="0" autoFill="0" autoLine="0" autoPict="0">
                <anchor moveWithCells="1">
                  <from>
                    <xdr:col>6</xdr:col>
                    <xdr:colOff>676275</xdr:colOff>
                    <xdr:row>23</xdr:row>
                    <xdr:rowOff>409575</xdr:rowOff>
                  </from>
                  <to>
                    <xdr:col>6</xdr:col>
                    <xdr:colOff>1019175</xdr:colOff>
                    <xdr:row>23</xdr:row>
                    <xdr:rowOff>752475</xdr:rowOff>
                  </to>
                </anchor>
              </controlPr>
            </control>
          </mc:Choice>
        </mc:AlternateContent>
        <mc:AlternateContent xmlns:mc="http://schemas.openxmlformats.org/markup-compatibility/2006">
          <mc:Choice Requires="x14">
            <control shapeId="18672" r:id="rId10" name="Check Box 11">
              <controlPr defaultSize="0" autoFill="0" autoLine="0" autoPict="0">
                <anchor moveWithCells="1">
                  <from>
                    <xdr:col>6</xdr:col>
                    <xdr:colOff>676275</xdr:colOff>
                    <xdr:row>24</xdr:row>
                    <xdr:rowOff>390525</xdr:rowOff>
                  </from>
                  <to>
                    <xdr:col>6</xdr:col>
                    <xdr:colOff>1019175</xdr:colOff>
                    <xdr:row>24</xdr:row>
                    <xdr:rowOff>733425</xdr:rowOff>
                  </to>
                </anchor>
              </controlPr>
            </control>
          </mc:Choice>
        </mc:AlternateContent>
        <mc:AlternateContent xmlns:mc="http://schemas.openxmlformats.org/markup-compatibility/2006">
          <mc:Choice Requires="x14">
            <control shapeId="18673" r:id="rId11" name="Check Box 12">
              <controlPr defaultSize="0" autoFill="0" autoLine="0" autoPict="0">
                <anchor moveWithCells="1">
                  <from>
                    <xdr:col>6</xdr:col>
                    <xdr:colOff>676275</xdr:colOff>
                    <xdr:row>25</xdr:row>
                    <xdr:rowOff>371475</xdr:rowOff>
                  </from>
                  <to>
                    <xdr:col>6</xdr:col>
                    <xdr:colOff>1019175</xdr:colOff>
                    <xdr:row>25</xdr:row>
                    <xdr:rowOff>714375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2"/>
  <sheetViews>
    <sheetView showGridLines="0" workbookViewId="0">
      <selection activeCell="H8" sqref="H8"/>
    </sheetView>
  </sheetViews>
  <sheetFormatPr baseColWidth="10" defaultColWidth="11.375" defaultRowHeight="14.25"/>
  <cols>
    <col min="1" max="1" width="4.625" style="42" customWidth="1"/>
    <col min="2" max="2" width="14.125" style="41" customWidth="1"/>
    <col min="3" max="3" width="15.375" style="41" customWidth="1"/>
    <col min="4" max="7" width="42" style="41" customWidth="1"/>
    <col min="8" max="16384" width="11.375" style="42"/>
  </cols>
  <sheetData>
    <row r="1" spans="1:7">
      <c r="A1" s="51"/>
      <c r="B1" s="52"/>
      <c r="C1" s="52"/>
      <c r="D1" s="53"/>
      <c r="E1" s="53"/>
      <c r="F1" s="53"/>
    </row>
    <row r="2" spans="1:7">
      <c r="A2" s="51"/>
      <c r="B2" s="149" t="s">
        <v>52</v>
      </c>
      <c r="C2" s="114"/>
      <c r="D2" s="114"/>
      <c r="E2" s="114"/>
      <c r="F2" s="114"/>
    </row>
    <row r="3" spans="1:7">
      <c r="A3" s="51"/>
      <c r="B3" s="114"/>
      <c r="C3" s="114"/>
      <c r="D3" s="114"/>
      <c r="E3" s="114"/>
      <c r="F3" s="114"/>
    </row>
    <row r="4" spans="1:7">
      <c r="A4" s="51"/>
      <c r="B4" s="52"/>
      <c r="C4" s="52"/>
      <c r="D4" s="53"/>
      <c r="E4" s="53"/>
      <c r="F4" s="53"/>
    </row>
    <row r="5" spans="1:7" ht="15">
      <c r="A5" s="3" t="s">
        <v>0</v>
      </c>
      <c r="B5" s="43"/>
      <c r="C5" s="43" t="s">
        <v>1</v>
      </c>
      <c r="D5" s="32" t="s">
        <v>31</v>
      </c>
      <c r="E5" s="44"/>
      <c r="F5" s="32" t="s">
        <v>2</v>
      </c>
    </row>
    <row r="6" spans="1:7" ht="15">
      <c r="A6" s="3" t="s">
        <v>3</v>
      </c>
      <c r="B6" s="43"/>
      <c r="C6" s="43"/>
      <c r="D6" s="32" t="s">
        <v>4</v>
      </c>
      <c r="E6" s="44"/>
      <c r="F6" s="45" t="s">
        <v>5</v>
      </c>
    </row>
    <row r="7" spans="1:7" ht="15">
      <c r="A7" s="3" t="s">
        <v>6</v>
      </c>
      <c r="B7" s="43"/>
      <c r="C7" s="43"/>
      <c r="D7" s="32" t="s">
        <v>7</v>
      </c>
      <c r="E7" s="32"/>
      <c r="F7" s="32"/>
    </row>
    <row r="8" spans="1:7" s="93" customFormat="1">
      <c r="B8" s="94"/>
      <c r="C8" s="94"/>
      <c r="D8" s="95" t="str">
        <f>+'Guía de uso'!B21</f>
        <v>Inicial</v>
      </c>
      <c r="E8" s="95" t="str">
        <f>+'Guía de uso'!B22</f>
        <v>Repetible</v>
      </c>
      <c r="F8" s="95" t="str">
        <f>+'Guía de uso'!B23</f>
        <v>Definido</v>
      </c>
      <c r="G8" s="95" t="str">
        <f>+'Guía de uso'!B24</f>
        <v>Gestionado</v>
      </c>
    </row>
    <row r="9" spans="1:7" ht="15">
      <c r="A9" s="169" t="s">
        <v>53</v>
      </c>
      <c r="B9" s="114"/>
      <c r="C9" s="114"/>
      <c r="D9" s="114"/>
      <c r="E9" s="114"/>
      <c r="F9" s="114"/>
      <c r="G9" s="114"/>
    </row>
    <row r="10" spans="1:7">
      <c r="A10" s="47"/>
      <c r="B10" s="46"/>
      <c r="C10" s="46"/>
      <c r="E10" s="48"/>
    </row>
    <row r="11" spans="1:7" ht="15">
      <c r="D11" s="170" t="s">
        <v>47</v>
      </c>
      <c r="E11" s="170"/>
      <c r="F11" s="170"/>
      <c r="G11" s="170"/>
    </row>
    <row r="12" spans="1:7" ht="15">
      <c r="A12" s="114" t="s">
        <v>48</v>
      </c>
      <c r="B12" s="114"/>
      <c r="C12" s="114"/>
      <c r="D12" s="49" t="str">
        <f>+'Guía de uso'!$AA$7</f>
        <v>Nivel 1 = Inicial</v>
      </c>
      <c r="E12" s="49" t="str">
        <f>+'Guía de uso'!$AA$8</f>
        <v>Nivel 2 = Repetible</v>
      </c>
      <c r="F12" s="49" t="str">
        <f>+'Guía de uso'!$AA$9</f>
        <v>Nivel 3 = Definido</v>
      </c>
      <c r="G12" s="49" t="str">
        <f>+'Guía de uso'!$AA$10</f>
        <v>Nivel 4 = Gestionado</v>
      </c>
    </row>
    <row r="13" spans="1:7" ht="17.25" customHeight="1">
      <c r="A13" s="171" t="s">
        <v>54</v>
      </c>
      <c r="B13" s="171"/>
      <c r="C13" s="171"/>
      <c r="D13" s="171"/>
      <c r="E13" s="171"/>
      <c r="F13" s="171"/>
      <c r="G13" s="171"/>
    </row>
    <row r="14" spans="1:7" ht="17.25" customHeight="1">
      <c r="A14" s="60" t="s">
        <v>39</v>
      </c>
      <c r="B14" s="168" t="s">
        <v>118</v>
      </c>
      <c r="C14" s="168"/>
      <c r="D14" s="168"/>
      <c r="E14" s="168"/>
      <c r="F14" s="168"/>
      <c r="G14" s="168"/>
    </row>
    <row r="15" spans="1:7" ht="119.1" customHeight="1">
      <c r="A15" s="19" t="s">
        <v>55</v>
      </c>
      <c r="B15" s="167" t="s">
        <v>142</v>
      </c>
      <c r="C15" s="167"/>
      <c r="D15" s="65" t="s">
        <v>184</v>
      </c>
      <c r="E15" s="65" t="s">
        <v>188</v>
      </c>
      <c r="F15" s="65" t="s">
        <v>192</v>
      </c>
      <c r="G15" s="65" t="s">
        <v>196</v>
      </c>
    </row>
    <row r="16" spans="1:7" ht="119.1" customHeight="1">
      <c r="A16" s="19" t="s">
        <v>56</v>
      </c>
      <c r="B16" s="167" t="s">
        <v>143</v>
      </c>
      <c r="C16" s="167"/>
      <c r="D16" s="92" t="s">
        <v>499</v>
      </c>
      <c r="E16" s="92" t="s">
        <v>503</v>
      </c>
      <c r="F16" s="92" t="s">
        <v>507</v>
      </c>
      <c r="G16" s="92" t="s">
        <v>511</v>
      </c>
    </row>
    <row r="17" spans="1:7" ht="119.1" customHeight="1">
      <c r="A17" s="19" t="s">
        <v>57</v>
      </c>
      <c r="B17" s="167" t="s">
        <v>168</v>
      </c>
      <c r="C17" s="167"/>
      <c r="D17" s="92" t="s">
        <v>515</v>
      </c>
      <c r="E17" s="92" t="s">
        <v>519</v>
      </c>
      <c r="F17" s="92" t="s">
        <v>523</v>
      </c>
      <c r="G17" s="92" t="s">
        <v>527</v>
      </c>
    </row>
    <row r="18" spans="1:7" ht="119.1" customHeight="1">
      <c r="A18" s="19" t="s">
        <v>58</v>
      </c>
      <c r="B18" s="167" t="s">
        <v>144</v>
      </c>
      <c r="C18" s="167"/>
      <c r="D18" s="65" t="s">
        <v>200</v>
      </c>
      <c r="E18" s="65" t="s">
        <v>204</v>
      </c>
      <c r="F18" s="65" t="s">
        <v>208</v>
      </c>
      <c r="G18" s="65" t="s">
        <v>212</v>
      </c>
    </row>
    <row r="19" spans="1:7" ht="17.25" customHeight="1">
      <c r="A19" s="60" t="s">
        <v>61</v>
      </c>
      <c r="B19" s="168" t="s">
        <v>119</v>
      </c>
      <c r="C19" s="168"/>
      <c r="D19" s="168"/>
      <c r="E19" s="168"/>
      <c r="F19" s="168"/>
      <c r="G19" s="168"/>
    </row>
    <row r="20" spans="1:7" ht="119.1" customHeight="1">
      <c r="A20" s="19" t="s">
        <v>62</v>
      </c>
      <c r="B20" s="167" t="s">
        <v>66</v>
      </c>
      <c r="C20" s="167"/>
      <c r="D20" s="65" t="s">
        <v>216</v>
      </c>
      <c r="E20" s="65" t="s">
        <v>220</v>
      </c>
      <c r="F20" s="65" t="s">
        <v>224</v>
      </c>
      <c r="G20" s="65" t="s">
        <v>228</v>
      </c>
    </row>
    <row r="21" spans="1:7" ht="119.1" customHeight="1">
      <c r="A21" s="19" t="s">
        <v>63</v>
      </c>
      <c r="B21" s="167" t="s">
        <v>146</v>
      </c>
      <c r="C21" s="167"/>
      <c r="D21" s="65" t="s">
        <v>232</v>
      </c>
      <c r="E21" s="65" t="s">
        <v>236</v>
      </c>
      <c r="F21" s="65" t="s">
        <v>240</v>
      </c>
      <c r="G21" s="65" t="s">
        <v>244</v>
      </c>
    </row>
    <row r="22" spans="1:7" ht="119.1" customHeight="1">
      <c r="A22" s="19" t="s">
        <v>64</v>
      </c>
      <c r="B22" s="167" t="s">
        <v>147</v>
      </c>
      <c r="C22" s="167"/>
      <c r="D22" s="65" t="s">
        <v>248</v>
      </c>
      <c r="E22" s="65" t="s">
        <v>252</v>
      </c>
      <c r="F22" s="65" t="s">
        <v>256</v>
      </c>
      <c r="G22" s="65" t="s">
        <v>260</v>
      </c>
    </row>
    <row r="23" spans="1:7" ht="17.25" customHeight="1">
      <c r="A23" s="60" t="s">
        <v>67</v>
      </c>
      <c r="B23" s="168" t="s">
        <v>120</v>
      </c>
      <c r="C23" s="168"/>
      <c r="D23" s="168"/>
      <c r="E23" s="168"/>
      <c r="F23" s="168"/>
      <c r="G23" s="168"/>
    </row>
    <row r="24" spans="1:7" ht="119.1" customHeight="1">
      <c r="A24" s="19" t="s">
        <v>68</v>
      </c>
      <c r="B24" s="167" t="s">
        <v>150</v>
      </c>
      <c r="C24" s="167"/>
      <c r="D24" s="65" t="s">
        <v>264</v>
      </c>
      <c r="E24" s="65" t="s">
        <v>268</v>
      </c>
      <c r="F24" s="65" t="s">
        <v>272</v>
      </c>
      <c r="G24" s="65" t="s">
        <v>276</v>
      </c>
    </row>
    <row r="25" spans="1:7" ht="119.1" customHeight="1">
      <c r="A25" s="19" t="s">
        <v>69</v>
      </c>
      <c r="B25" s="167" t="s">
        <v>152</v>
      </c>
      <c r="C25" s="167"/>
      <c r="D25" s="65" t="s">
        <v>288</v>
      </c>
      <c r="E25" s="65" t="s">
        <v>292</v>
      </c>
      <c r="F25" s="65" t="s">
        <v>296</v>
      </c>
      <c r="G25" s="65" t="s">
        <v>300</v>
      </c>
    </row>
    <row r="26" spans="1:7" ht="17.25" customHeight="1">
      <c r="A26" s="60" t="s">
        <v>121</v>
      </c>
      <c r="B26" s="168" t="s">
        <v>122</v>
      </c>
      <c r="C26" s="168"/>
      <c r="D26" s="168"/>
      <c r="E26" s="168"/>
      <c r="F26" s="168"/>
      <c r="G26" s="168"/>
    </row>
    <row r="27" spans="1:7" ht="119.1" customHeight="1">
      <c r="A27" s="19" t="s">
        <v>123</v>
      </c>
      <c r="B27" s="167" t="s">
        <v>154</v>
      </c>
      <c r="C27" s="167"/>
      <c r="D27" s="65" t="s">
        <v>304</v>
      </c>
      <c r="E27" s="65" t="s">
        <v>308</v>
      </c>
      <c r="F27" s="65" t="s">
        <v>312</v>
      </c>
      <c r="G27" s="65" t="s">
        <v>316</v>
      </c>
    </row>
    <row r="28" spans="1:7" ht="119.1" customHeight="1">
      <c r="A28" s="19" t="s">
        <v>124</v>
      </c>
      <c r="B28" s="167" t="s">
        <v>155</v>
      </c>
      <c r="C28" s="167"/>
      <c r="D28" s="65" t="s">
        <v>320</v>
      </c>
      <c r="E28" s="65" t="s">
        <v>324</v>
      </c>
      <c r="F28" s="65" t="s">
        <v>328</v>
      </c>
      <c r="G28" s="65" t="s">
        <v>332</v>
      </c>
    </row>
    <row r="29" spans="1:7" ht="119.1" customHeight="1">
      <c r="A29" s="19" t="s">
        <v>125</v>
      </c>
      <c r="B29" s="167" t="s">
        <v>156</v>
      </c>
      <c r="C29" s="167"/>
      <c r="D29" s="65" t="s">
        <v>336</v>
      </c>
      <c r="E29" s="65" t="s">
        <v>340</v>
      </c>
      <c r="F29" s="65" t="s">
        <v>344</v>
      </c>
      <c r="G29" s="65" t="s">
        <v>348</v>
      </c>
    </row>
    <row r="30" spans="1:7" ht="119.1" customHeight="1">
      <c r="A30" s="19" t="s">
        <v>126</v>
      </c>
      <c r="B30" s="167" t="s">
        <v>157</v>
      </c>
      <c r="C30" s="167"/>
      <c r="D30" s="65" t="s">
        <v>352</v>
      </c>
      <c r="E30" s="65" t="s">
        <v>356</v>
      </c>
      <c r="F30" s="65" t="s">
        <v>360</v>
      </c>
      <c r="G30" s="65" t="s">
        <v>364</v>
      </c>
    </row>
    <row r="31" spans="1:7" ht="119.1" customHeight="1">
      <c r="A31" s="19" t="s">
        <v>127</v>
      </c>
      <c r="B31" s="172" t="s">
        <v>166</v>
      </c>
      <c r="C31" s="172"/>
      <c r="D31" s="65" t="s">
        <v>368</v>
      </c>
      <c r="E31" s="65" t="s">
        <v>372</v>
      </c>
      <c r="F31" s="65" t="s">
        <v>376</v>
      </c>
      <c r="G31" s="65" t="s">
        <v>380</v>
      </c>
    </row>
    <row r="32" spans="1:7" ht="17.25" customHeight="1">
      <c r="A32" s="60" t="s">
        <v>128</v>
      </c>
      <c r="B32" s="168" t="s">
        <v>129</v>
      </c>
      <c r="C32" s="168"/>
      <c r="D32" s="168"/>
      <c r="E32" s="168"/>
      <c r="F32" s="168"/>
      <c r="G32" s="168"/>
    </row>
    <row r="33" spans="1:7" ht="119.1" customHeight="1">
      <c r="A33" s="19" t="s">
        <v>130</v>
      </c>
      <c r="B33" s="167" t="s">
        <v>159</v>
      </c>
      <c r="C33" s="167"/>
      <c r="D33" s="65" t="s">
        <v>384</v>
      </c>
      <c r="E33" s="65" t="s">
        <v>388</v>
      </c>
      <c r="F33" s="65" t="s">
        <v>392</v>
      </c>
      <c r="G33" s="65" t="s">
        <v>396</v>
      </c>
    </row>
    <row r="34" spans="1:7" ht="119.1" customHeight="1">
      <c r="A34" s="19" t="s">
        <v>131</v>
      </c>
      <c r="B34" s="167" t="s">
        <v>149</v>
      </c>
      <c r="C34" s="167"/>
      <c r="D34" s="65" t="s">
        <v>399</v>
      </c>
      <c r="E34" s="65" t="s">
        <v>403</v>
      </c>
      <c r="F34" s="65" t="s">
        <v>404</v>
      </c>
      <c r="G34" s="65" t="s">
        <v>284</v>
      </c>
    </row>
    <row r="35" spans="1:7" ht="119.1" customHeight="1">
      <c r="A35" s="19" t="s">
        <v>132</v>
      </c>
      <c r="B35" s="167" t="s">
        <v>151</v>
      </c>
      <c r="C35" s="167"/>
      <c r="D35" s="65" t="s">
        <v>408</v>
      </c>
      <c r="E35" s="65" t="s">
        <v>412</v>
      </c>
      <c r="F35" s="65" t="s">
        <v>415</v>
      </c>
      <c r="G35" s="65" t="s">
        <v>419</v>
      </c>
    </row>
    <row r="36" spans="1:7" ht="17.25" customHeight="1">
      <c r="A36" s="60" t="s">
        <v>133</v>
      </c>
      <c r="B36" s="168" t="s">
        <v>134</v>
      </c>
      <c r="C36" s="168"/>
      <c r="D36" s="168"/>
      <c r="E36" s="168"/>
      <c r="F36" s="168"/>
      <c r="G36" s="168"/>
    </row>
    <row r="37" spans="1:7" ht="119.1" customHeight="1">
      <c r="A37" s="19" t="s">
        <v>135</v>
      </c>
      <c r="B37" s="167" t="s">
        <v>160</v>
      </c>
      <c r="C37" s="167"/>
      <c r="D37" s="65" t="s">
        <v>423</v>
      </c>
      <c r="E37" s="65" t="s">
        <v>427</v>
      </c>
      <c r="F37" s="65" t="s">
        <v>431</v>
      </c>
      <c r="G37" s="65" t="s">
        <v>435</v>
      </c>
    </row>
    <row r="38" spans="1:7" ht="119.1" customHeight="1">
      <c r="A38" s="19" t="s">
        <v>136</v>
      </c>
      <c r="B38" s="167" t="s">
        <v>167</v>
      </c>
      <c r="C38" s="167"/>
      <c r="D38" s="65" t="s">
        <v>439</v>
      </c>
      <c r="E38" s="65" t="s">
        <v>443</v>
      </c>
      <c r="F38" s="65" t="s">
        <v>446</v>
      </c>
      <c r="G38" s="65" t="s">
        <v>450</v>
      </c>
    </row>
    <row r="39" spans="1:7" ht="119.1" customHeight="1">
      <c r="A39" s="19" t="s">
        <v>137</v>
      </c>
      <c r="B39" s="167" t="s">
        <v>161</v>
      </c>
      <c r="C39" s="167"/>
      <c r="D39" s="65" t="s">
        <v>454</v>
      </c>
      <c r="E39" s="65" t="s">
        <v>458</v>
      </c>
      <c r="F39" s="65" t="s">
        <v>461</v>
      </c>
      <c r="G39" s="65" t="s">
        <v>465</v>
      </c>
    </row>
    <row r="40" spans="1:7" ht="17.25" customHeight="1">
      <c r="A40" s="60" t="s">
        <v>138</v>
      </c>
      <c r="B40" s="168" t="s">
        <v>139</v>
      </c>
      <c r="C40" s="168"/>
      <c r="D40" s="168"/>
      <c r="E40" s="168"/>
      <c r="F40" s="168"/>
      <c r="G40" s="168"/>
    </row>
    <row r="41" spans="1:7" ht="119.1" customHeight="1">
      <c r="A41" s="19" t="s">
        <v>140</v>
      </c>
      <c r="B41" s="167" t="s">
        <v>60</v>
      </c>
      <c r="C41" s="167"/>
      <c r="D41" s="65" t="s">
        <v>469</v>
      </c>
      <c r="E41" s="65" t="s">
        <v>473</v>
      </c>
      <c r="F41" s="65" t="s">
        <v>476</v>
      </c>
      <c r="G41" s="65" t="s">
        <v>480</v>
      </c>
    </row>
    <row r="42" spans="1:7" ht="119.1" customHeight="1">
      <c r="A42" s="19" t="s">
        <v>141</v>
      </c>
      <c r="B42" s="167" t="s">
        <v>163</v>
      </c>
      <c r="C42" s="167"/>
      <c r="D42" s="65" t="s">
        <v>484</v>
      </c>
      <c r="E42" s="65" t="s">
        <v>488</v>
      </c>
      <c r="F42" s="65" t="s">
        <v>491</v>
      </c>
      <c r="G42" s="65" t="s">
        <v>495</v>
      </c>
    </row>
  </sheetData>
  <mergeCells count="34">
    <mergeCell ref="B42:C42"/>
    <mergeCell ref="B28:C28"/>
    <mergeCell ref="B29:C29"/>
    <mergeCell ref="B23:G23"/>
    <mergeCell ref="B24:C24"/>
    <mergeCell ref="B25:C25"/>
    <mergeCell ref="B26:G26"/>
    <mergeCell ref="B27:C27"/>
    <mergeCell ref="B41:C41"/>
    <mergeCell ref="B39:C39"/>
    <mergeCell ref="B31:C31"/>
    <mergeCell ref="B30:C30"/>
    <mergeCell ref="B32:G32"/>
    <mergeCell ref="B33:C33"/>
    <mergeCell ref="B40:G40"/>
    <mergeCell ref="B34:C34"/>
    <mergeCell ref="B2:F3"/>
    <mergeCell ref="A9:G9"/>
    <mergeCell ref="D11:G11"/>
    <mergeCell ref="A12:C12"/>
    <mergeCell ref="A13:G13"/>
    <mergeCell ref="B19:G19"/>
    <mergeCell ref="B20:C20"/>
    <mergeCell ref="B21:C21"/>
    <mergeCell ref="B14:G14"/>
    <mergeCell ref="B15:C15"/>
    <mergeCell ref="B16:C16"/>
    <mergeCell ref="B17:C17"/>
    <mergeCell ref="B18:C18"/>
    <mergeCell ref="B35:C35"/>
    <mergeCell ref="B37:C37"/>
    <mergeCell ref="B38:C38"/>
    <mergeCell ref="B36:G36"/>
    <mergeCell ref="B22:C22"/>
  </mergeCells>
  <conditionalFormatting sqref="D8:G8">
    <cfRule type="duplicateValues" dxfId="9" priority="117"/>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9"/>
  <sheetViews>
    <sheetView showGridLines="0" topLeftCell="A13" zoomScale="90" zoomScaleNormal="90" workbookViewId="0">
      <selection activeCell="G18" sqref="G18"/>
    </sheetView>
  </sheetViews>
  <sheetFormatPr baseColWidth="10" defaultColWidth="0" defaultRowHeight="16.5" customHeight="1"/>
  <cols>
    <col min="1" max="1" width="4.875" style="7" customWidth="1"/>
    <col min="2" max="2" width="32.875" style="58" customWidth="1"/>
    <col min="3" max="3" width="73.125" style="7" customWidth="1"/>
    <col min="4" max="4" width="19.375" style="33" customWidth="1"/>
    <col min="5" max="5" width="19.375" style="7" customWidth="1"/>
    <col min="6" max="6" width="16.625" style="7" customWidth="1"/>
    <col min="7" max="7" width="25.375" style="7" customWidth="1"/>
    <col min="8" max="9" width="31.375" style="7" customWidth="1"/>
    <col min="10" max="10" width="11.375" style="7" customWidth="1"/>
    <col min="11" max="12" width="0" style="7" hidden="1" customWidth="1"/>
    <col min="13" max="16384" width="11.375" style="7" hidden="1"/>
  </cols>
  <sheetData>
    <row r="1" spans="1:9" ht="20.45" customHeight="1">
      <c r="A1" s="31"/>
      <c r="B1" s="149" t="s">
        <v>529</v>
      </c>
      <c r="C1" s="149"/>
      <c r="D1" s="149"/>
      <c r="E1" s="149"/>
      <c r="F1" s="149"/>
      <c r="G1" s="149"/>
    </row>
    <row r="2" spans="1:9" ht="20.45" customHeight="1">
      <c r="A2" s="31"/>
      <c r="B2" s="149"/>
      <c r="C2" s="149"/>
      <c r="D2" s="149"/>
      <c r="E2" s="149"/>
      <c r="F2" s="149"/>
      <c r="G2" s="149"/>
    </row>
    <row r="3" spans="1:9" ht="20.100000000000001" customHeight="1">
      <c r="A3" s="31"/>
      <c r="B3" s="149"/>
      <c r="C3" s="149"/>
      <c r="D3" s="149"/>
      <c r="E3" s="149"/>
      <c r="F3" s="149"/>
      <c r="G3" s="149"/>
    </row>
    <row r="4" spans="1:9" customFormat="1" ht="3" customHeight="1">
      <c r="A4" s="81"/>
      <c r="B4" s="86"/>
      <c r="C4" s="81"/>
      <c r="D4" s="82"/>
      <c r="E4" s="81"/>
      <c r="F4" s="82"/>
      <c r="G4" s="83"/>
    </row>
    <row r="5" spans="1:9" ht="15">
      <c r="A5" s="3" t="s">
        <v>0</v>
      </c>
      <c r="B5" s="32"/>
      <c r="C5" s="3" t="s">
        <v>1</v>
      </c>
      <c r="D5" s="32" t="s">
        <v>31</v>
      </c>
      <c r="E5" s="3" t="s">
        <v>32</v>
      </c>
      <c r="F5" s="5"/>
      <c r="G5" s="6" t="s">
        <v>2</v>
      </c>
    </row>
    <row r="6" spans="1:9" ht="15">
      <c r="A6" s="3" t="s">
        <v>3</v>
      </c>
      <c r="B6" s="32"/>
      <c r="C6" s="3"/>
      <c r="D6" s="32" t="s">
        <v>4</v>
      </c>
      <c r="E6" s="5"/>
      <c r="F6" s="5"/>
      <c r="G6" s="85" t="s">
        <v>5</v>
      </c>
    </row>
    <row r="7" spans="1:9" ht="15">
      <c r="A7" s="3" t="s">
        <v>6</v>
      </c>
      <c r="B7" s="32"/>
      <c r="C7" s="3"/>
      <c r="D7" s="32" t="s">
        <v>7</v>
      </c>
      <c r="E7" s="3"/>
      <c r="F7" s="3"/>
      <c r="G7" s="6"/>
    </row>
    <row r="8" spans="1:9" ht="14.25"/>
    <row r="9" spans="1:9" ht="14.25"/>
    <row r="10" spans="1:9" ht="20.25" customHeight="1">
      <c r="A10" s="169" t="s">
        <v>8</v>
      </c>
      <c r="B10" s="114"/>
      <c r="C10" s="114"/>
      <c r="D10" s="114"/>
      <c r="E10" s="114"/>
      <c r="F10" s="114"/>
      <c r="G10" s="114"/>
      <c r="H10" s="114"/>
      <c r="I10" s="114"/>
    </row>
    <row r="11" spans="1:9" ht="33" customHeight="1">
      <c r="A11" s="175" t="s">
        <v>178</v>
      </c>
      <c r="B11" s="155"/>
      <c r="C11" s="155"/>
      <c r="D11" s="155"/>
      <c r="E11" s="155"/>
      <c r="F11" s="155"/>
      <c r="G11" s="155"/>
      <c r="H11" s="155"/>
      <c r="I11" s="155"/>
    </row>
    <row r="12" spans="1:9" ht="33" customHeight="1">
      <c r="A12" s="175"/>
      <c r="B12" s="155"/>
      <c r="C12" s="155"/>
      <c r="D12" s="155"/>
      <c r="E12" s="155"/>
      <c r="F12" s="155"/>
      <c r="G12" s="155"/>
      <c r="H12" s="155"/>
      <c r="I12" s="155"/>
    </row>
    <row r="13" spans="1:9" ht="20.25" customHeight="1">
      <c r="A13" s="169" t="s">
        <v>33</v>
      </c>
      <c r="B13" s="114"/>
      <c r="C13" s="114"/>
      <c r="D13" s="114"/>
      <c r="E13" s="114"/>
      <c r="F13" s="114"/>
      <c r="G13" s="114"/>
      <c r="H13" s="114"/>
      <c r="I13" s="114"/>
    </row>
    <row r="14" spans="1:9" ht="14.25">
      <c r="A14" s="39"/>
    </row>
    <row r="15" spans="1:9" ht="36" customHeight="1">
      <c r="D15" s="67" t="s">
        <v>34</v>
      </c>
      <c r="E15" s="68" t="s">
        <v>35</v>
      </c>
    </row>
    <row r="16" spans="1:9" ht="36.75" customHeight="1">
      <c r="A16" s="66" t="s">
        <v>36</v>
      </c>
      <c r="B16" s="176" t="s">
        <v>173</v>
      </c>
      <c r="C16" s="176"/>
      <c r="D16" s="71">
        <f>IFERROR(AVERAGE(D17,D22,D26,D29,D35,D39,D43),"")</f>
        <v>2.2523809523809524</v>
      </c>
      <c r="E16" s="71" t="str">
        <f>+IF(D16&lt;=1,'Guía de uso'!$B$21,IF(D16&lt;=2,'Guía de uso'!$B$22,IF(D16&lt;=3,'Guía de uso'!$B$23,IF(D16&lt;=4,'Guía de uso'!$B$24,"No ha seleccionado"))))</f>
        <v>Definido</v>
      </c>
      <c r="F16" s="69" t="s">
        <v>37</v>
      </c>
      <c r="G16" s="70" t="s">
        <v>38</v>
      </c>
      <c r="H16" s="177" t="s">
        <v>59</v>
      </c>
      <c r="I16" s="178"/>
    </row>
    <row r="17" spans="1:9" ht="35.1" customHeight="1">
      <c r="A17" s="73" t="s">
        <v>39</v>
      </c>
      <c r="B17" s="87" t="s">
        <v>145</v>
      </c>
      <c r="C17" s="72" t="s">
        <v>44</v>
      </c>
      <c r="D17" s="74">
        <f>IFERROR(AVERAGE(D18:D21),"")</f>
        <v>2.5</v>
      </c>
      <c r="E17" s="74" t="str">
        <f>+IF(D17&lt;=1,'Guía de uso'!$B$21,IF(D17&lt;=2,'Guía de uso'!$B$22,IF(D17&lt;=3,'Guía de uso'!$B$23,IF(D17&lt;=4,'Guía de uso'!$B$24,"No ha seleccionado"))))</f>
        <v>Definido</v>
      </c>
      <c r="F17" s="173"/>
      <c r="G17" s="174"/>
      <c r="H17" s="174"/>
      <c r="I17" s="174"/>
    </row>
    <row r="18" spans="1:9" ht="98.45" customHeight="1">
      <c r="A18" s="19" t="s">
        <v>55</v>
      </c>
      <c r="B18" s="61" t="s">
        <v>142</v>
      </c>
      <c r="C18" s="75" t="str">
        <f>+IF('Check - Contexto'!G17=TRUE,'Check - Contexto'!D17,IF('Check - Contexto'!G18=TRUE,'Check - Contexto'!D18,IF('Check - Contexto'!G19=TRUE,'Check - Contexto'!D19,IF('Check - Contexto'!G20=TRUE,'Check - Contexto'!D20,""))))</f>
        <v>Existen esfuerzos por documentar los procesos, pero la implementación es inconsistente y no sistemática.</v>
      </c>
      <c r="D18" s="80">
        <f>IF('Check - Contexto'!$G$15="SELECCIONE SOLAMENTE UN NIVEL","SELECCIONE SOLAMENTE UN NIVEL",SUM('Check - Contexto'!$J$17:$J$20))</f>
        <v>2</v>
      </c>
      <c r="E18" s="54" t="str">
        <f>+IF(D18&lt;=1,'Guía de uso'!$B$21,IF(D18&lt;=2,'Guía de uso'!$B$22,IF(D18&lt;=3,'Guía de uso'!$B$23,IF(D18&lt;=4,'Guía de uso'!$B$24,"No ha seleccionado"))))</f>
        <v>Repetible</v>
      </c>
      <c r="F18" s="19" t="s">
        <v>40</v>
      </c>
      <c r="G18" s="19"/>
      <c r="H18" s="131" t="str">
        <f>IFERROR(HLOOKUP(E18,Recomendaciones!$A$8:$G$58,8,FALSE),"")</f>
        <v>Desarrollar un marco de trabajo más estructurado para evaluar el contexto organizacional. Capacitar a más empleados en los procedimientos y asegurar la consistencia en la aplicación de los procesos documentados.</v>
      </c>
      <c r="I18" s="131"/>
    </row>
    <row r="19" spans="1:9" ht="98.45" customHeight="1">
      <c r="A19" s="19" t="s">
        <v>56</v>
      </c>
      <c r="B19" s="61" t="s">
        <v>143</v>
      </c>
      <c r="C19" s="75" t="str">
        <f>+IF('Check - Contexto'!G23=TRUE,'Check - Contexto'!B23,IF('Check - Contexto'!G24=TRUE,'Check - Contexto'!B24,IF('Check - Contexto'!G25=TRUE,'Check - Contexto'!B25,IF('Check - Contexto'!G26=TRUE,'Check - Contexto'!B26,""))))</f>
        <v>Procesos documentados y metodologías estándar aseguran la identificación y entendimiento adecuados.</v>
      </c>
      <c r="D19" s="80">
        <f>IF('Check - Contexto'!$G$21="SELECCIONE SOLAMENTE UN NIVEL","SELECCIONE SOLAMENTE UN NIVEL",SUM('Check - Contexto'!$J$23:$J$26))</f>
        <v>3</v>
      </c>
      <c r="E19" s="54" t="str">
        <f>+IF(D19&lt;=1,'Guía de uso'!$B$21,IF(D19&lt;=2,'Guía de uso'!$B$22,IF(D19&lt;=3,'Guía de uso'!$B$23,IF(D19&lt;=4,'Guía de uso'!$B$24,"No ha seleccionado"))))</f>
        <v>Definido</v>
      </c>
      <c r="F19" s="19" t="s">
        <v>42</v>
      </c>
      <c r="G19" s="19"/>
      <c r="H19" s="131" t="str">
        <f>IFERROR(HLOOKUP(E19,Recomendaciones!$A$8:$G$58,9,FALSE),"")</f>
        <v>Integrar completamente los procesos de identificación de necesidades en las operaciones diarias de la organización. Implementar controles y supervisión regulares, utilizando métricas específicas para evaluar la efectividad de estos procesos.</v>
      </c>
      <c r="I19" s="131"/>
    </row>
    <row r="20" spans="1:9" ht="98.45" customHeight="1">
      <c r="A20" s="19" t="s">
        <v>57</v>
      </c>
      <c r="B20" s="61" t="s">
        <v>168</v>
      </c>
      <c r="C20" s="61" t="str">
        <f>+IF('Check - Contexto'!G29=TRUE,'Check - Contexto'!B29,IF('Check - Contexto'!G30=TRUE,'Check - Contexto'!B30,IF('Check - Contexto'!G31=TRUE,'Check - Contexto'!B31,IF('Check - Contexto'!G32=TRUE,'Check - Contexto'!B32,""))))</f>
        <v>El alcance del SGSI está bien documentado y definido, siguiendo metodologías estándar.</v>
      </c>
      <c r="D20" s="80">
        <f>IF('Check - Contexto'!$G$27="SELECCIONE SOLAMENTE UN NIVEL","SELECCIONE SOLAMENTE UN NIVEL",SUM('Check - Contexto'!$J$29:$J$32))</f>
        <v>3</v>
      </c>
      <c r="E20" s="54" t="str">
        <f>+IF(D20&lt;=1,'Guía de uso'!$B$21,IF(D20&lt;=2,'Guía de uso'!$B$22,IF(D20&lt;=3,'Guía de uso'!$B$23,IF(D20&lt;=4,'Guía de uso'!$B$24,"No ha seleccionado"))))</f>
        <v>Definido</v>
      </c>
      <c r="F20" s="19" t="s">
        <v>41</v>
      </c>
      <c r="G20" s="19"/>
      <c r="H20" s="131" t="str">
        <f>IFERROR(HLOOKUP(E20,Recomendaciones!$A$8:$G$58,10,FALSE),"")</f>
        <v>Integrar completamente los procesos de determinación del alcance del SGSI en las operaciones diarias de la organización. Implementar controles y supervisión regulares, utilizando métricas específicas para evaluar la efectividad de estos procesos.</v>
      </c>
      <c r="I20" s="131"/>
    </row>
    <row r="21" spans="1:9" ht="98.45" customHeight="1">
      <c r="A21" s="19" t="s">
        <v>58</v>
      </c>
      <c r="B21" s="61" t="s">
        <v>165</v>
      </c>
      <c r="C21" s="61" t="str">
        <f>+IF('Check - Contexto'!G35=TRUE,'Check - Contexto'!D35,IF('Check - Contexto'!G36=TRUE,'Check - Contexto'!D36,IF('Check - Contexto'!G37=TRUE,'Check - Contexto'!D37,IF('Check - Contexto'!G38=TRUE,'Check - Contexto'!D38,""))))</f>
        <v>Existen esfuerzos por documentar el SGSI, pero la implementación es inconsistente y depende en gran medida de individuos específicos para su aplicación efectiva.</v>
      </c>
      <c r="D21" s="80">
        <f>IF('Check - Contexto'!$G$33="SELECCIONE SOLAMENTE UN NIVEL","SELECCIONE SOLAMENTE UN NIVEL",SUM('Check - Contexto'!$J$35:$J$38))</f>
        <v>2</v>
      </c>
      <c r="E21" s="54" t="str">
        <f>+IF(D21&lt;=1,'Guía de uso'!$B$21,IF(D21&lt;=2,'Guía de uso'!$B$22,IF(D21&lt;=3,'Guía de uso'!$B$23,IF(D21&lt;=4,'Guía de uso'!$B$24,"No ha seleccionado"))))</f>
        <v>Repetible</v>
      </c>
      <c r="F21" s="19" t="s">
        <v>49</v>
      </c>
      <c r="G21" s="19"/>
      <c r="H21" s="131" t="str">
        <f>IFERROR(HLOOKUP(E21,Recomendaciones!$A$8:$G$58,11,FALSE),"")</f>
        <v>Desarrollar un marco más estructurado y consistente para la implementación del SGSI. Capacitar a más empleados en estos procedimientos y asegurar la consistencia en la aplicación de los procesos documentados.</v>
      </c>
      <c r="I21" s="131"/>
    </row>
    <row r="22" spans="1:9" ht="35.1" customHeight="1">
      <c r="A22" s="73" t="s">
        <v>61</v>
      </c>
      <c r="B22" s="87" t="s">
        <v>164</v>
      </c>
      <c r="C22" s="72" t="s">
        <v>44</v>
      </c>
      <c r="D22" s="74">
        <f>IFERROR(AVERAGE(D23:D25),"")</f>
        <v>2.3333333333333335</v>
      </c>
      <c r="E22" s="74" t="str">
        <f>+IF(D22&lt;=1,'Guía de uso'!$B$21,IF(D22&lt;=2,'Guía de uso'!$B$22,IF(D22&lt;=3,'Guía de uso'!$B$23,IF(D22&lt;=4,'Guía de uso'!$B$24,"No ha seleccionado"))))</f>
        <v>Definido</v>
      </c>
      <c r="F22" s="173"/>
      <c r="G22" s="174"/>
      <c r="H22" s="174"/>
      <c r="I22" s="174"/>
    </row>
    <row r="23" spans="1:9" ht="98.45" customHeight="1">
      <c r="A23" s="19" t="s">
        <v>62</v>
      </c>
      <c r="B23" s="61" t="s">
        <v>66</v>
      </c>
      <c r="C23" s="75" t="str">
        <f>+IF('Check - Liderazgo'!G17=TRUE,'Check - Liderazgo'!D17,IF('Check - Liderazgo'!G18=TRUE,'Check - Liderazgo'!D18,IF('Check - Liderazgo'!G19=TRUE,'Check - Liderazgo'!D19,IF('Check - Liderazgo'!G20=TRUE,'Check - Liderazgo'!D20,""))))</f>
        <v>Existen esfuerzos documentados para demostrar el compromiso de la alta dirección, pero la aplicación es inconsistente.</v>
      </c>
      <c r="D23" s="80">
        <f>IF('Check - Liderazgo'!$G$15="SELECCIONE SOLAMENTE UN NIVEL","SELECCIONE SOLAMENTE UN NIVEL",SUM('Check - Liderazgo'!$J$17:$J$20))</f>
        <v>2</v>
      </c>
      <c r="E23" s="54" t="str">
        <f>+IF(D23&lt;=1,'Guía de uso'!$B$21,IF(D23&lt;=2,'Guía de uso'!$B$22,IF(D23&lt;=3,'Guía de uso'!$B$23,IF(D23&lt;=4,'Guía de uso'!$B$24,"No ha seleccionado"))))</f>
        <v>Repetible</v>
      </c>
      <c r="F23" s="19" t="s">
        <v>50</v>
      </c>
      <c r="G23" s="19"/>
      <c r="H23" s="131" t="str">
        <f>IFERROR(HLOOKUP(E23,Recomendaciones!$A$8:$G$58,13,FALSE),"")</f>
        <v>Asegurar que el compromiso de la alta dirección sea consistente y visible. Involucrar a más miembros de la alta dirección en las actividades de seguridad y establecer métricas para medir su participación activa.</v>
      </c>
      <c r="I23" s="131"/>
    </row>
    <row r="24" spans="1:9" ht="98.45" customHeight="1">
      <c r="A24" s="19" t="s">
        <v>63</v>
      </c>
      <c r="B24" s="61" t="s">
        <v>146</v>
      </c>
      <c r="C24" s="75" t="str">
        <f>+IF('Check - Liderazgo'!G23=TRUE,'Check - Liderazgo'!D23,IF('Check - Liderazgo'!G24=TRUE,'Check - Liderazgo'!D24,IF('Check - Liderazgo'!G25=TRUE,'Check - Liderazgo'!D25,IF('Check - Liderazgo'!G26=TRUE,'Check - Liderazgo'!D26,""))))</f>
        <v>La política de seguridad está claramente documentada, siguiendo metodologías estándar, con un nivel básico de control y supervisión para asegurar su aplicación.</v>
      </c>
      <c r="D24" s="80">
        <f>IF('Check - Liderazgo'!$G$21="SELECCIONE SOLAMENTE UN NIVEL","SELECCIONE SOLAMENTE UN NIVEL",SUM('Check - Liderazgo'!$J$23:$J$26))</f>
        <v>3</v>
      </c>
      <c r="E24" s="54" t="str">
        <f>+IF(D24&lt;=1,'Guía de uso'!$B$21,IF(D24&lt;=2,'Guía de uso'!$B$22,IF(D24&lt;=3,'Guía de uso'!$B$23,IF(D24&lt;=4,'Guía de uso'!$B$24,"No ha seleccionado"))))</f>
        <v>Definido</v>
      </c>
      <c r="F24" s="19" t="s">
        <v>41</v>
      </c>
      <c r="G24" s="19"/>
      <c r="H24" s="131" t="str">
        <f>IFERROR(HLOOKUP(E24,Recomendaciones!$A$8:$G$58,14,FALSE),"")</f>
        <v>Integrar completamente la política de seguridad en los procesos organizacionales. Establecer revisiones periódicas para evaluar y actualizar la política, asegurando su alineación continua con los objetivos de seguridad y las necesidades organizacionales.</v>
      </c>
      <c r="I24" s="131"/>
    </row>
    <row r="25" spans="1:9" ht="98.45" customHeight="1">
      <c r="A25" s="19" t="s">
        <v>64</v>
      </c>
      <c r="B25" s="61" t="s">
        <v>147</v>
      </c>
      <c r="C25" s="61" t="str">
        <f>+IF('Check - Liderazgo'!G29=TRUE,'Check - Liderazgo'!D29,IF('Check - Liderazgo'!G30=TRUE,'Check - Liderazgo'!D30,IF('Check - Liderazgo'!G31=TRUE,'Check - Liderazgo'!D31,IF('Check - Liderazgo'!G32=TRUE,'Check - Liderazgo'!D32,""))))</f>
        <v>Se han definido y documentado roles y responsabilidades básicas, pero su aplicación es irregular y depende de individuos específicos.</v>
      </c>
      <c r="D25" s="80">
        <f>IF('Check - Liderazgo'!$G$27="SELECCIONE SOLAMENTE UN NIVEL","SELECCIONE SOLAMENTE UN NIVEL",SUM('Check - Liderazgo'!$J$29:$J$32))</f>
        <v>2</v>
      </c>
      <c r="E25" s="54" t="str">
        <f>+IF(D25&lt;=1,'Guía de uso'!$B$21,IF(D25&lt;=2,'Guía de uso'!$B$22,IF(D25&lt;=3,'Guía de uso'!$B$23,IF(D25&lt;=4,'Guía de uso'!$B$24,"No ha seleccionado"))))</f>
        <v>Repetible</v>
      </c>
      <c r="F25" s="19" t="s">
        <v>41</v>
      </c>
      <c r="G25" s="19"/>
      <c r="H25" s="131" t="str">
        <f>IFERROR(HLOOKUP(E25,Recomendaciones!$A$8:$G$58,15,FALSE),"")</f>
        <v>Revisar y mejorar la definición de roles y responsabilidades para asegurar su aplicación consistente. Establecer procedimientos claros y capacitar a los empleados en sus funciones y responsabilidades específicas.</v>
      </c>
      <c r="I25" s="131"/>
    </row>
    <row r="26" spans="1:9" ht="35.1" customHeight="1">
      <c r="A26" s="73" t="s">
        <v>67</v>
      </c>
      <c r="B26" s="87" t="s">
        <v>148</v>
      </c>
      <c r="C26" s="72" t="s">
        <v>44</v>
      </c>
      <c r="D26" s="74">
        <f>IFERROR(AVERAGE(D27:D28),"")</f>
        <v>2</v>
      </c>
      <c r="E26" s="74" t="str">
        <f>+IF(D26&lt;=1,'Guía de uso'!$B$21,IF(D26&lt;=2,'Guía de uso'!$B$22,IF(D26&lt;=3,'Guía de uso'!$B$23,IF(D26&lt;=4,'Guía de uso'!$B$24,"No ha seleccionado"))))</f>
        <v>Repetible</v>
      </c>
      <c r="F26" s="173"/>
      <c r="G26" s="174"/>
      <c r="H26" s="174"/>
      <c r="I26" s="174"/>
    </row>
    <row r="27" spans="1:9" ht="98.45" customHeight="1">
      <c r="A27" s="19" t="s">
        <v>68</v>
      </c>
      <c r="B27" s="61" t="s">
        <v>150</v>
      </c>
      <c r="C27" s="75" t="str">
        <f>+IF('Check - Planificación'!G17=TRUE,'Check - Planificación'!D17,IF('Check - Planificación'!G18=TRUE,'Check - Planificación'!D18,IF('Check - Planificación'!G19=TRUE,'Check - Planificación'!D19,IF('Check - Planificación'!G20=TRUE,'Check - Planificación'!D20,""))))</f>
        <v>Se han documentado acciones para abordar riesgos y oportunidades, pero la implementación depende de individuos específicos y no es sistemática.</v>
      </c>
      <c r="D27" s="80">
        <f>IF('Check - Planificación'!$G$15="SELECCIONE SOLAMENTE UN NIVEL","SELECCIONE SOLAMENTE UN NIVEL",SUM('Check - Planificación'!$J$17:$J$20))</f>
        <v>2</v>
      </c>
      <c r="E27" s="54" t="str">
        <f>+IF(D27&lt;=1,'Guía de uso'!$B$21,IF(D27&lt;=2,'Guía de uso'!$B$22,IF(D27&lt;=3,'Guía de uso'!$B$23,IF(D27&lt;=4,'Guía de uso'!$B$24,"No ha seleccionado"))))</f>
        <v>Repetible</v>
      </c>
      <c r="F27" s="19" t="s">
        <v>50</v>
      </c>
      <c r="G27" s="19"/>
      <c r="H27" s="131" t="str">
        <f>IFERROR(HLOOKUP(E27,Recomendaciones!$A$8:$G$58,17,FALSE),"")</f>
        <v>Desarrollar un marco de trabajo más estructurado y consistente para abordar riesgos y oportunidades. Capacitar a más empleados en estos procedimientos.</v>
      </c>
      <c r="I27" s="131"/>
    </row>
    <row r="28" spans="1:9" ht="98.45" customHeight="1">
      <c r="A28" s="19" t="s">
        <v>69</v>
      </c>
      <c r="B28" s="61" t="s">
        <v>152</v>
      </c>
      <c r="C28" s="61" t="str">
        <f>+IF('Check - Planificación'!G23=TRUE,'Check - Planificación'!D23,IF('Check - Planificación'!G24=TRUE,'Check - Planificación'!D24,IF('Check - Planificación'!G25=TRUE,'Check - Planificación'!D25,IF('Check - Planificación'!G26=TRUE,'Check - Planificación'!D26,""))))</f>
        <v>Se han establecido y documentado objetivos, pero la implementación y el seguimiento dependen de individuos específicos y no son sistemáticos.</v>
      </c>
      <c r="D28" s="80">
        <f>IF('Check - Planificación'!$G$21="SELECCIONE SOLAMENTE UN NIVEL","SELECCIONE SOLAMENTE UN NIVEL",SUM('Check - Planificación'!$J$23:$J$26))</f>
        <v>2</v>
      </c>
      <c r="E28" s="54" t="str">
        <f>+IF(D28&lt;=1,'Guía de uso'!$B$21,IF(D28&lt;=2,'Guía de uso'!$B$22,IF(D28&lt;=3,'Guía de uso'!$B$23,IF(D28&lt;=4,'Guía de uso'!$B$24,"No ha seleccionado"))))</f>
        <v>Repetible</v>
      </c>
      <c r="F28" s="19" t="s">
        <v>49</v>
      </c>
      <c r="G28" s="19"/>
      <c r="H28" s="131" t="str">
        <f>IFERROR(HLOOKUP(E28,Recomendaciones!$A$8:$G$58,18,FALSE),"")</f>
        <v>Revisar y mejorar los objetivos de seguridad para asegurar su aplicación consistente. Establecer procedimientos claros y capacitar a los empleados en la implementación y seguimiento de los objetivos.</v>
      </c>
      <c r="I28" s="131"/>
    </row>
    <row r="29" spans="1:9" ht="35.1" customHeight="1">
      <c r="A29" s="73" t="s">
        <v>121</v>
      </c>
      <c r="B29" s="87" t="s">
        <v>153</v>
      </c>
      <c r="C29" s="72" t="s">
        <v>44</v>
      </c>
      <c r="D29" s="74">
        <f>IFERROR(AVERAGE(D30:D34),"")</f>
        <v>2.6</v>
      </c>
      <c r="E29" s="74" t="str">
        <f>+IF(D29&lt;=1,'Guía de uso'!$B$21,IF(D29&lt;=2,'Guía de uso'!$B$22,IF(D29&lt;=3,'Guía de uso'!$B$23,IF(D29&lt;=4,'Guía de uso'!$B$24,"No ha seleccionado"))))</f>
        <v>Definido</v>
      </c>
      <c r="F29" s="173"/>
      <c r="G29" s="174"/>
      <c r="H29" s="174"/>
      <c r="I29" s="174"/>
    </row>
    <row r="30" spans="1:9" ht="98.45" customHeight="1">
      <c r="A30" s="19" t="s">
        <v>123</v>
      </c>
      <c r="B30" s="61" t="s">
        <v>154</v>
      </c>
      <c r="C30" s="75" t="str">
        <f>+IF('Check - Soporte'!G17=TRUE,'Check - Soporte'!D17,IF('Check - Soporte'!G18=TRUE,'Check - Soporte'!D18,IF('Check - Soporte'!G19=TRUE,'Check - Soporte'!D19,IF('Check - Soporte'!G20=TRUE,'Check - Soporte'!D20,""))))</f>
        <v>Los recursos necesarios para la seguridad de la información están claramente definidos y asignados, siguiendo metodologías estándar, con un nivel básico de control.</v>
      </c>
      <c r="D30" s="80">
        <f>IF('Check - Soporte'!$G$15="SELECCIONE SOLAMENTE UN NIVEL","SELECCIONE SOLAMENTE UN NIVEL",SUM('Check - Soporte'!$J$17:$J$20))</f>
        <v>3</v>
      </c>
      <c r="E30" s="54" t="str">
        <f>+IF(D30&lt;=1,'Guía de uso'!$B$21,IF(D30&lt;=2,'Guía de uso'!$B$22,IF(D30&lt;=3,'Guía de uso'!$B$23,IF(D30&lt;=4,'Guía de uso'!$B$24,"No ha seleccionado"))))</f>
        <v>Definido</v>
      </c>
      <c r="F30" s="19" t="s">
        <v>40</v>
      </c>
      <c r="G30" s="19"/>
      <c r="H30" s="131" t="str">
        <f>IFERROR(HLOOKUP(E30,Recomendaciones!$A$8:$G$58,20,FALSE),"")</f>
        <v>Integrar completamente la asignación de recursos en los procesos organizacionales. Establecer controles y supervisión regulares para asegurar la provisión continua de recursos adecuados.</v>
      </c>
      <c r="I30" s="131"/>
    </row>
    <row r="31" spans="1:9" ht="98.45" customHeight="1">
      <c r="A31" s="19" t="s">
        <v>124</v>
      </c>
      <c r="B31" s="61" t="s">
        <v>155</v>
      </c>
      <c r="C31" s="75" t="str">
        <f>+IF('Check - Soporte'!G23=TRUE,'Check - Soporte'!D23,IF('Check - Soporte'!G24=TRUE,'Check - Soporte'!D24,IF('Check - Soporte'!G25=TRUE,'Check - Soporte'!D25,IF('Check - Soporte'!G26=TRUE,'Check - Soporte'!D26,""))))</f>
        <v>Los requisitos de competencia están claramente definidos y se evalúan siguiendo metodologías estándar, con un nivel básico de control y supervisión.</v>
      </c>
      <c r="D31" s="80">
        <f>IF('Check - Soporte'!$G$21="SELECCIONE SOLAMENTE UN NIVEL","SELECCIONE SOLAMENTE UN NIVEL",SUM('Check - Soporte'!$J$23:$J$26))</f>
        <v>3</v>
      </c>
      <c r="E31" s="54" t="str">
        <f>+IF(D31&lt;=1,'Guía de uso'!$B$21,IF(D31&lt;=2,'Guía de uso'!$B$22,IF(D31&lt;=3,'Guía de uso'!$B$23,IF(D31&lt;=4,'Guía de uso'!$B$24,"No ha seleccionado"))))</f>
        <v>Definido</v>
      </c>
      <c r="F31" s="19" t="s">
        <v>42</v>
      </c>
      <c r="G31" s="19"/>
      <c r="H31" s="131" t="str">
        <f>IFERROR(HLOOKUP(E31,Recomendaciones!$A$8:$G$58,21,FALSE),"")</f>
        <v>Integrar completamente los procesos de evaluación y aseguramiento de competencias en las operaciones diarias. Establecer controles y supervisión regulares.</v>
      </c>
      <c r="I31" s="131"/>
    </row>
    <row r="32" spans="1:9" ht="98.45" customHeight="1">
      <c r="A32" s="19" t="s">
        <v>125</v>
      </c>
      <c r="B32" s="61" t="s">
        <v>156</v>
      </c>
      <c r="C32" s="61" t="str">
        <f>+IF('Check - Soporte'!G29=TRUE,'Check - Soporte'!D29,IF('Check - Soporte'!G30=TRUE,'Check - Soporte'!D30,IF('Check - Soporte'!G31=TRUE,'Check - Soporte'!D31,IF('Check - Soporte'!G32=TRUE,'Check - Soporte'!D32,""))))</f>
        <v>Hay intentos por concienciar al personal sobre la seguridad, pero estos esfuerzos son irregulares y dependen de individuos específicos.</v>
      </c>
      <c r="D32" s="80">
        <f>IF('Check - Soporte'!$G$27="SELECCIONE SOLAMENTE UN NIVEL","SELECCIONE SOLAMENTE UN NIVEL",SUM('Check - Soporte'!$J$29:$J$32))</f>
        <v>2</v>
      </c>
      <c r="E32" s="54" t="str">
        <f>+IF(D32&lt;=1,'Guía de uso'!$B$21,IF(D32&lt;=2,'Guía de uso'!$B$22,IF(D32&lt;=3,'Guía de uso'!$B$23,IF(D32&lt;=4,'Guía de uso'!$B$24,"No ha seleccionado"))))</f>
        <v>Repetible</v>
      </c>
      <c r="F32" s="19" t="s">
        <v>41</v>
      </c>
      <c r="G32" s="19"/>
      <c r="H32" s="131" t="str">
        <f>IFERROR(HLOOKUP(E32,Recomendaciones!$A$8:$G$58,22,FALSE),"")</f>
        <v>Establecer un programa de concienciación más estructurado y consistente. Asegurar que la concienciación sea regular y no dependa de individuos específicos.</v>
      </c>
      <c r="I32" s="131"/>
    </row>
    <row r="33" spans="1:9" ht="98.45" customHeight="1">
      <c r="A33" s="19" t="s">
        <v>126</v>
      </c>
      <c r="B33" s="61" t="s">
        <v>157</v>
      </c>
      <c r="C33" s="61" t="str">
        <f>+IF('Check - Soporte'!G35=TRUE,'Check - Soporte'!D35,IF('Check - Soporte'!G36=TRUE,'Check - Soporte'!D36,IF('Check - Soporte'!G37=TRUE,'Check - Soporte'!D37,IF('Check - Soporte'!G38=TRUE,'Check - Soporte'!D38,""))))</f>
        <v>Los procedimientos de comunicación están claramente documentados y definidos, siguiendo metodologías estándar, con un nivel básico de control y supervisión.</v>
      </c>
      <c r="D33" s="80">
        <f>IF('Check - Soporte'!$G$33="SELECCIONE SOLAMENTE UN NIVEL","SELECCIONE SOLAMENTE UN NIVEL",SUM('Check - Soporte'!$J$35:$J$38))</f>
        <v>3</v>
      </c>
      <c r="E33" s="54" t="str">
        <f>+IF(D33&lt;=1,'Guía de uso'!$B$21,IF(D33&lt;=2,'Guía de uso'!$B$22,IF(D33&lt;=3,'Guía de uso'!$B$23,IF(D33&lt;=4,'Guía de uso'!$B$24,"No ha seleccionado"))))</f>
        <v>Definido</v>
      </c>
      <c r="F33" s="19" t="s">
        <v>49</v>
      </c>
      <c r="G33" s="19"/>
      <c r="H33" s="131" t="str">
        <f>IFERROR(HLOOKUP(E33,Recomendaciones!$A$8:$G$58,23,FALSE),"")</f>
        <v>Integrar completamente los procedimientos de comunicación en los procesos organizacionales. Establecer controles y supervisión regulares para asegurar la efectividad de la comunicación.</v>
      </c>
      <c r="I33" s="131"/>
    </row>
    <row r="34" spans="1:9" ht="98.45" customHeight="1">
      <c r="A34" s="19" t="s">
        <v>127</v>
      </c>
      <c r="B34" s="61" t="s">
        <v>166</v>
      </c>
      <c r="C34" s="61" t="str">
        <f>+IF('Check - Soporte'!G41=TRUE,'Check - Soporte'!D41,IF('Check - Soporte'!G42=TRUE,'Check - Soporte'!D42,IF('Check - Soporte'!G43=TRUE,'Check - Soporte'!D43,IF('Check - Soporte'!G44=TRUE,'Check - Soporte'!D44,""))))</f>
        <v>Se han establecido procedimientos básicos para la gestión de la información, pero su implementación es irregular y depende de individuos específicos.</v>
      </c>
      <c r="D34" s="80">
        <f>IF('Check - Soporte'!$G$39="SELECCIONE SOLAMENTE UN NIVEL","SELECCIONE SOLAMENTE UN NIVEL",SUM('Check - Soporte'!$J$41:$J$44))</f>
        <v>2</v>
      </c>
      <c r="E34" s="54" t="str">
        <f>+IF(D34&lt;=1,'Guía de uso'!$B$21,IF(D34&lt;=2,'Guía de uso'!$B$22,IF(D34&lt;=3,'Guía de uso'!$B$23,IF(D34&lt;=4,'Guía de uso'!$B$24,"No ha seleccionado"))))</f>
        <v>Repetible</v>
      </c>
      <c r="F34" s="19" t="s">
        <v>49</v>
      </c>
      <c r="G34" s="19"/>
      <c r="H34" s="131" t="str">
        <f>IFERROR(HLOOKUP(E34,Recomendaciones!$A$8:$G$58,24,FALSE),"")</f>
        <v>Desarrollar un enfoque más estructurado y consistente para la gestión de la información. Capacitar a más empleados en estos procedimientos y asegurar la consistencia en su aplicación.</v>
      </c>
      <c r="I34" s="131"/>
    </row>
    <row r="35" spans="1:9" ht="35.1" customHeight="1">
      <c r="A35" s="73" t="s">
        <v>128</v>
      </c>
      <c r="B35" s="87" t="s">
        <v>158</v>
      </c>
      <c r="C35" s="72" t="s">
        <v>44</v>
      </c>
      <c r="D35" s="74">
        <f>IFERROR(AVERAGE(D36:D38),"")</f>
        <v>2</v>
      </c>
      <c r="E35" s="74" t="str">
        <f>+IF(D35&lt;=1,'Guía de uso'!$B$21,IF(D35&lt;=2,'Guía de uso'!$B$22,IF(D35&lt;=3,'Guía de uso'!$B$23,IF(D35&lt;=4,'Guía de uso'!$B$24,"No ha seleccionado"))))</f>
        <v>Repetible</v>
      </c>
      <c r="F35" s="173"/>
      <c r="G35" s="174"/>
      <c r="H35" s="174"/>
      <c r="I35" s="174"/>
    </row>
    <row r="36" spans="1:9" ht="98.45" customHeight="1">
      <c r="A36" s="19" t="s">
        <v>130</v>
      </c>
      <c r="B36" s="61" t="s">
        <v>159</v>
      </c>
      <c r="C36" s="75" t="str">
        <f>+IF('Check - Operación'!G17=TRUE,'Check - Operación'!D17,IF('Check - Operación'!G18=TRUE,'Check - Operación'!D18,IF('Check - Operación'!G19=TRUE,'Check - Operación'!D19,IF('Check - Operación'!G20=TRUE,'Check - Operación'!D20,""))))</f>
        <v>Se ha comenzado a planificar y controlar las operaciones, pero la implementación es irregular y depende en gran medida de individuos específicos.</v>
      </c>
      <c r="D36" s="80">
        <f>IF('Check - Operación'!$G$15="SELECCIONE SOLAMENTE UN NIVEL","SELECCIONE SOLAMENTE UN NIVEL",SUM('Check - Operación'!$J$17:$J$20))</f>
        <v>2</v>
      </c>
      <c r="E36" s="54" t="str">
        <f>+IF(D36&lt;=1,'Guía de uso'!$B$21,IF(D36&lt;=2,'Guía de uso'!$B$22,IF(D36&lt;=3,'Guía de uso'!$B$23,IF(D36&lt;=4,'Guía de uso'!$B$24,"No ha seleccionado"))))</f>
        <v>Repetible</v>
      </c>
      <c r="F36" s="19" t="s">
        <v>40</v>
      </c>
      <c r="G36" s="19"/>
      <c r="H36" s="131" t="str">
        <f>IFERROR(HLOOKUP(E36,Recomendaciones!$A$8:$G$58,26,FALSE),"")</f>
        <v>Desarrollar un marco más estructurado y consistente para la planificación y control operativo. Capacitar a más empleados en estos procedimientos.</v>
      </c>
      <c r="I36" s="131"/>
    </row>
    <row r="37" spans="1:9" ht="98.45" customHeight="1">
      <c r="A37" s="19" t="s">
        <v>131</v>
      </c>
      <c r="B37" s="61" t="s">
        <v>149</v>
      </c>
      <c r="C37" s="75" t="str">
        <f>+IF('Check - Operación'!G23=TRUE,'Check - Operación'!D23,IF('Check - Operación'!G24=TRUE,'Check - Operación'!D24,IF('Check - Operación'!G25=TRUE,'Check - Operación'!D25,IF('Check - Operación'!G26=TRUE,'Check - Operación'!D26,""))))</f>
        <v>Se han comenzado a evaluar los riesgos, pero la implementación es irregular y depende de individuos específicos para su efectividad.</v>
      </c>
      <c r="D37" s="80">
        <f>IF('Check - Operación'!$G$21="SELECCIONE SOLAMENTE UN NIVEL","SELECCIONE SOLAMENTE UN NIVEL",SUM('Check - Operación'!$J$23:$J$26))</f>
        <v>2</v>
      </c>
      <c r="E37" s="54" t="str">
        <f>+IF(D37&lt;=1,'Guía de uso'!$B$21,IF(D37&lt;=2,'Guía de uso'!$B$22,IF(D37&lt;=3,'Guía de uso'!$B$23,IF(D37&lt;=4,'Guía de uso'!$B$24,"No ha seleccionado"))))</f>
        <v>Repetible</v>
      </c>
      <c r="F37" s="19" t="s">
        <v>42</v>
      </c>
      <c r="G37" s="19"/>
      <c r="H37" s="131" t="str">
        <f>IFERROR(HLOOKUP(E37,Recomendaciones!$A$8:$G$58,27,FALSE),"")</f>
        <v>Desarrollar un marco de trabajo más estructurado y consistente para la evaluación de riesgos. Capacitar a más empleados en estos procedimientos y asegurar la consistencia en la evaluación.</v>
      </c>
      <c r="I37" s="131"/>
    </row>
    <row r="38" spans="1:9" ht="98.45" customHeight="1">
      <c r="A38" s="19" t="s">
        <v>132</v>
      </c>
      <c r="B38" s="61" t="s">
        <v>151</v>
      </c>
      <c r="C38" s="75" t="str">
        <f>+IF('Check - Operación'!G29=TRUE,'Check - Operación'!D29,IF('Check - Operación'!G30=TRUE,'Check - Operación'!D30,IF('Check - Operación'!G31=TRUE,'Check - Operación'!D31,IF('Check - Operación'!G32=TRUE,'Check - Operación'!D32,""))))</f>
        <v>Se han documentado acciones para el tratamiento de riesgos, pero la implementación es irregular y depende de individuos específicos para su efectividad.</v>
      </c>
      <c r="D38" s="80">
        <f>IF('Check - Operación'!$G$27="SELECCIONE SOLAMENTE UN NIVEL","SELECCIONE SOLAMENTE UN NIVEL",SUM('Check - Operación'!$J$29:$J$32))</f>
        <v>2</v>
      </c>
      <c r="E38" s="54" t="str">
        <f>+IF(D38&lt;=1,'Guía de uso'!$B$21,IF(D38&lt;=2,'Guía de uso'!$B$22,IF(D38&lt;=3,'Guía de uso'!$B$23,IF(D38&lt;=4,'Guía de uso'!$B$24,"No ha seleccionado"))))</f>
        <v>Repetible</v>
      </c>
      <c r="F38" s="19" t="s">
        <v>41</v>
      </c>
      <c r="G38" s="19"/>
      <c r="H38" s="131" t="str">
        <f>IFERROR(HLOOKUP(E38,Recomendaciones!$A$8:$G$58,28,FALSE),"")</f>
        <v>Desarrollar un marco de trabajo más estructurado y consistente para el tratamiento de riesgos. Capacitar a más empleados en estos procedimientos y asegurar la consistencia en el tratamiento.</v>
      </c>
      <c r="I38" s="131"/>
    </row>
    <row r="39" spans="1:9" ht="35.1" customHeight="1">
      <c r="A39" s="73" t="s">
        <v>133</v>
      </c>
      <c r="B39" s="87" t="s">
        <v>65</v>
      </c>
      <c r="C39" s="72" t="s">
        <v>44</v>
      </c>
      <c r="D39" s="74">
        <f>IFERROR(AVERAGE(D40:D42),"")</f>
        <v>2.3333333333333335</v>
      </c>
      <c r="E39" s="74" t="str">
        <f>+IF(D39&lt;=1,'Guía de uso'!$B$21,IF(D39&lt;=2,'Guía de uso'!$B$22,IF(D39&lt;=3,'Guía de uso'!$B$23,IF(D39&lt;=4,'Guía de uso'!$B$24,"No ha seleccionado"))))</f>
        <v>Definido</v>
      </c>
      <c r="F39" s="173"/>
      <c r="G39" s="174"/>
      <c r="H39" s="174"/>
      <c r="I39" s="174"/>
    </row>
    <row r="40" spans="1:9" ht="98.45" customHeight="1">
      <c r="A40" s="19" t="s">
        <v>135</v>
      </c>
      <c r="B40" s="61" t="s">
        <v>160</v>
      </c>
      <c r="C40" s="75" t="str">
        <f>+IF('Check - Evaluación'!G17=TRUE,'Check - Evaluación'!D17,IF('Check - Evaluación'!G18=TRUE,'Check - Evaluación'!D18,IF('Check - Evaluación'!G19=TRUE,'Check - Evaluación'!D19,IF('Check - Evaluación'!G20=TRUE,'Check - Evaluación'!D20,""))))</f>
        <v>Las actividades están claramente documentadas, siguiendo metodologías estándar, con un nivel básico de control y supervisión para asegurar la exactitud y utilidad de los datos.</v>
      </c>
      <c r="D40" s="80">
        <f>IF('Check - Evaluación'!$G$15="SELECCIONE SOLAMENTE UN NIVEL","SELECCIONE SOLAMENTE UN NIVEL",SUM('Check - Evaluación'!$J$17:$J$20))</f>
        <v>3</v>
      </c>
      <c r="E40" s="54" t="str">
        <f>+IF(D40&lt;=1,'Guía de uso'!$B$21,IF(D40&lt;=2,'Guía de uso'!$B$22,IF(D40&lt;=3,'Guía de uso'!$B$23,IF(D40&lt;=4,'Guía de uso'!$B$24,"No ha seleccionado"))))</f>
        <v>Definido</v>
      </c>
      <c r="F40" s="19" t="s">
        <v>40</v>
      </c>
      <c r="G40" s="19"/>
      <c r="H40" s="131" t="str">
        <f>IFERROR(HLOOKUP(E40,Recomendaciones!$A$8:$G$58,30,FALSE),"")</f>
        <v>Integrar completamente estas actividades en los procesos organizacionales. Implementar controles y supervisión regulares para asegurar la exactitud y utilidad de los datos recopilados.</v>
      </c>
      <c r="I40" s="131"/>
    </row>
    <row r="41" spans="1:9" ht="98.45" customHeight="1">
      <c r="A41" s="19" t="s">
        <v>136</v>
      </c>
      <c r="B41" s="61" t="s">
        <v>167</v>
      </c>
      <c r="C41" s="75" t="str">
        <f>+IF('Check - Evaluación'!G23=TRUE,'Check - Evaluación'!D23,IF('Check - Evaluación'!G24=TRUE,'Check - Evaluación'!D24,IF('Check - Evaluación'!G25=TRUE,'Check - Evaluación'!D25,IF('Check - Evaluación'!G26=TRUE,'Check - Evaluación'!D26,""))))</f>
        <v>Existen esfuerzos para realizar auditorías internas, pero son irregulares y dependen de individuos específicos, lo que afecta la consistencia de las evaluaciones.</v>
      </c>
      <c r="D41" s="80">
        <f>IF('Check - Evaluación'!$G$21="SELECCIONE SOLAMENTE UN NIVEL","SELECCIONE SOLAMENTE UN NIVEL",SUM('Check - Evaluación'!$J$23:$J$26))</f>
        <v>2</v>
      </c>
      <c r="E41" s="54" t="str">
        <f>+IF(D41&lt;=1,'Guía de uso'!$B$21,IF(D41&lt;=2,'Guía de uso'!$B$22,IF(D41&lt;=3,'Guía de uso'!$B$23,IF(D41&lt;=4,'Guía de uso'!$B$24,"No ha seleccionado"))))</f>
        <v>Repetible</v>
      </c>
      <c r="F41" s="19" t="s">
        <v>42</v>
      </c>
      <c r="G41" s="19"/>
      <c r="H41" s="131" t="str">
        <f>IFERROR(HLOOKUP(E41,Recomendaciones!$A$8:$G$58,31,FALSE),"")</f>
        <v>Desarrollar un enfoque más estructurado y consistente para las auditorías internas. Capacitar a más empleados en estos procedimientos y asegurar la regularidad y consistencia en las evaluaciones.</v>
      </c>
      <c r="I41" s="131"/>
    </row>
    <row r="42" spans="1:9" ht="98.45" customHeight="1">
      <c r="A42" s="19" t="s">
        <v>137</v>
      </c>
      <c r="B42" s="61" t="s">
        <v>161</v>
      </c>
      <c r="C42" s="75" t="str">
        <f>+IF('Check - Evaluación'!G29=TRUE,'Check - Evaluación'!D29,IF('Check - Evaluación'!G30=TRUE,'Check - Evaluación'!D30,IF('Check - Evaluación'!G31=TRUE,'Check - Evaluación'!D31,IF('Check - Evaluación'!G32=TRUE,'Check - Evaluación'!D32,""))))</f>
        <v>Existen esfuerzos para revisar el SGSI, pero son irregulares y dependen de individuos específicos, lo que afecta la consistencia y utilidad de las revisiones.</v>
      </c>
      <c r="D42" s="80">
        <f>IF('Check - Evaluación'!$G$27="SELECCIONE SOLAMENTE UN NIVEL","SELECCIONE SOLAMENTE UN NIVEL",SUM('Check - Evaluación'!$J$29:$J$32))</f>
        <v>2</v>
      </c>
      <c r="E42" s="54" t="str">
        <f>+IF(D42&lt;=1,'Guía de uso'!$B$21,IF(D42&lt;=2,'Guía de uso'!$B$22,IF(D42&lt;=3,'Guía de uso'!$B$23,IF(D42&lt;=4,'Guía de uso'!$B$24,"No ha seleccionado"))))</f>
        <v>Repetible</v>
      </c>
      <c r="F42" s="19" t="s">
        <v>41</v>
      </c>
      <c r="G42" s="19"/>
      <c r="H42" s="131" t="str">
        <f>IFERROR(HLOOKUP(E42,Recomendaciones!$A$8:$G$58,32,FALSE),"")</f>
        <v>Desarrollar un enfoque más estructurado y consistente para las revisiones por la dirección. Capacitar a más miembros de la alta dirección en estos procedimientos y asegurar la regularidad en las revisiones.</v>
      </c>
      <c r="I42" s="131"/>
    </row>
    <row r="43" spans="1:9" ht="35.1" customHeight="1">
      <c r="A43" s="73" t="s">
        <v>138</v>
      </c>
      <c r="B43" s="87" t="s">
        <v>162</v>
      </c>
      <c r="C43" s="72" t="s">
        <v>44</v>
      </c>
      <c r="D43" s="74">
        <f>IFERROR(AVERAGE(D44:D45),"")</f>
        <v>2</v>
      </c>
      <c r="E43" s="74" t="str">
        <f>+IF(D43&lt;=1,'Guía de uso'!$B$21,IF(D43&lt;=2,'Guía de uso'!$B$22,IF(D43&lt;=3,'Guía de uso'!$B$23,IF(D43&lt;=4,'Guía de uso'!$B$24,"No ha seleccionado"))))</f>
        <v>Repetible</v>
      </c>
      <c r="F43" s="173"/>
      <c r="G43" s="174"/>
      <c r="H43" s="174"/>
      <c r="I43" s="174"/>
    </row>
    <row r="44" spans="1:9" ht="98.45" customHeight="1">
      <c r="A44" s="19" t="s">
        <v>140</v>
      </c>
      <c r="B44" s="61" t="s">
        <v>60</v>
      </c>
      <c r="C44" s="75" t="str">
        <f>+IF('Check - Mejora'!G17=TRUE,'Check - Mejora'!D17,IF('Check - Mejora'!G18=TRUE,'Check - Mejora'!D18,IF('Check - Mejora'!G19=TRUE,'Check - Mejora'!D19,IF('Check - Mejora'!G20=TRUE,'Check - Mejora'!D20,""))))</f>
        <v>Existen esfuerzos para identificar y realizar mejoras, pero son irregulares y dependen de individuos específicos, afectando la consistencia del progreso.</v>
      </c>
      <c r="D44" s="80">
        <f>IF('Check - Mejora'!$G$15="SELECCIONE SOLAMENTE UN NIVEL","SELECCIONE SOLAMENTE UN NIVEL",SUM('Check - Mejora'!$J$17:$J$20))</f>
        <v>2</v>
      </c>
      <c r="E44" s="54" t="str">
        <f>+IF(D44&lt;=1,'Guía de uso'!$B$21,IF(D44&lt;=2,'Guía de uso'!$B$22,IF(D44&lt;=3,'Guía de uso'!$B$23,IF(D44&lt;=4,'Guía de uso'!$B$24,"No ha seleccionado"))))</f>
        <v>Repetible</v>
      </c>
      <c r="F44" s="19" t="s">
        <v>40</v>
      </c>
      <c r="G44" s="19"/>
      <c r="H44" s="131" t="str">
        <f>IFERROR(HLOOKUP(E44,Recomendaciones!$A$8:$G$58,34,FALSE),"")</f>
        <v>Desarrollar un enfoque más estructurado y consistente para la mejora continua. Capacitar a más empleados en estos procedimientos y asegurar la regularidad y sistematicidad en las mejoras.</v>
      </c>
      <c r="I44" s="131"/>
    </row>
    <row r="45" spans="1:9" ht="98.45" customHeight="1">
      <c r="A45" s="19" t="s">
        <v>141</v>
      </c>
      <c r="B45" s="61" t="s">
        <v>163</v>
      </c>
      <c r="C45" s="75" t="str">
        <f>+IF('Check - Mejora'!G23=TRUE,'Check - Mejora'!D23,IF('Check - Mejora'!G24=TRUE,'Check - Mejora'!D24,IF('Check - Mejora'!G25=TRUE,'Check - Mejora'!D25,IF('Check - Mejora'!G26=TRUE,'Check - Mejora'!D26,""))))</f>
        <v>Existen esfuerzos para gestionar no conformidades y tomar acciones correctivas, pero son irregulares y dependen de individuos específicos, afectando la consistencia de la resolución.</v>
      </c>
      <c r="D45" s="80">
        <f>IF('Check - Mejora'!$G$21="SELECCIONE SOLAMENTE UN NIVEL","SELECCIONE SOLAMENTE UN NIVEL",SUM('Check - Mejora'!$J$23:$J$26))</f>
        <v>2</v>
      </c>
      <c r="E45" s="54" t="str">
        <f>+IF(D45&lt;=1,'Guía de uso'!$B$21,IF(D45&lt;=2,'Guía de uso'!$B$22,IF(D45&lt;=3,'Guía de uso'!$B$23,IF(D45&lt;=4,'Guía de uso'!$B$24,"No ha seleccionado"))))</f>
        <v>Repetible</v>
      </c>
      <c r="F45" s="19" t="s">
        <v>42</v>
      </c>
      <c r="G45" s="19"/>
      <c r="H45" s="131" t="str">
        <f>IFERROR(HLOOKUP(E45,Recomendaciones!$A$8:$G$58,35,FALSE),"")</f>
        <v>Desarrollar un enfoque más estructurado y consistente para la gestión de no conformidades y acciones correctivas. Capacitar a más empleados en estos procedimientos y asegurar la regularidad en la resolución de no conformidades.</v>
      </c>
      <c r="I45" s="131"/>
    </row>
    <row r="46" spans="1:9" ht="20.25" customHeight="1"/>
    <row r="47" spans="1:9" ht="26.1" customHeight="1">
      <c r="A47" s="169" t="s">
        <v>13</v>
      </c>
      <c r="B47" s="114"/>
      <c r="C47" s="114"/>
      <c r="D47" s="114"/>
      <c r="E47" s="114"/>
      <c r="F47" s="114"/>
      <c r="G47" s="114"/>
      <c r="H47" s="114"/>
      <c r="I47" s="114"/>
    </row>
    <row r="48" spans="1:9" ht="16.5" customHeight="1">
      <c r="A48" s="39"/>
    </row>
    <row r="49" spans="1:9" ht="16.5" customHeight="1">
      <c r="A49" s="39"/>
    </row>
    <row r="50" spans="1:9" ht="16.5" customHeight="1">
      <c r="A50" s="55"/>
      <c r="B50" s="88"/>
      <c r="C50" s="56"/>
      <c r="D50" s="57"/>
      <c r="E50" s="56"/>
      <c r="F50" s="56"/>
      <c r="G50" s="56"/>
      <c r="H50" s="56"/>
      <c r="I50" s="56"/>
    </row>
    <row r="69" ht="16.350000000000001" customHeight="1"/>
  </sheetData>
  <mergeCells count="36">
    <mergeCell ref="H33:I33"/>
    <mergeCell ref="A47:I47"/>
    <mergeCell ref="H18:I18"/>
    <mergeCell ref="H19:I19"/>
    <mergeCell ref="H20:I20"/>
    <mergeCell ref="H21:I21"/>
    <mergeCell ref="H23:I23"/>
    <mergeCell ref="H24:I24"/>
    <mergeCell ref="F26:I26"/>
    <mergeCell ref="H27:I27"/>
    <mergeCell ref="H28:I28"/>
    <mergeCell ref="H30:I30"/>
    <mergeCell ref="F29:I29"/>
    <mergeCell ref="H31:I31"/>
    <mergeCell ref="H32:I32"/>
    <mergeCell ref="F22:I22"/>
    <mergeCell ref="H25:I25"/>
    <mergeCell ref="F17:I17"/>
    <mergeCell ref="B1:G3"/>
    <mergeCell ref="A10:I10"/>
    <mergeCell ref="A11:I12"/>
    <mergeCell ref="A13:I13"/>
    <mergeCell ref="B16:C16"/>
    <mergeCell ref="H16:I16"/>
    <mergeCell ref="H45:I45"/>
    <mergeCell ref="H34:I34"/>
    <mergeCell ref="H40:I40"/>
    <mergeCell ref="H41:I41"/>
    <mergeCell ref="H42:I42"/>
    <mergeCell ref="F43:I43"/>
    <mergeCell ref="H44:I44"/>
    <mergeCell ref="F35:I35"/>
    <mergeCell ref="H36:I36"/>
    <mergeCell ref="H37:I37"/>
    <mergeCell ref="H38:I38"/>
    <mergeCell ref="F39:I39"/>
  </mergeCells>
  <conditionalFormatting sqref="D18:D21 D23:D25 D27:D28 D30:D34 D36:D38 D40:D42 D44:D45">
    <cfRule type="cellIs" dxfId="8" priority="1" operator="equal">
      <formula>"SELECCIONE SOLAMENTE UN NIVEL"</formula>
    </cfRule>
  </conditionalFormatting>
  <conditionalFormatting sqref="F18:F21 F23:F25 F27:F28 F30:F34 F36:F38 F40:F42 F44:F45">
    <cfRule type="containsText" dxfId="7" priority="35" operator="containsText" text="FALSO">
      <formula>NOT(ISERROR(SEARCH("FALSO",F18)))</formula>
    </cfRule>
    <cfRule type="containsText" dxfId="6" priority="36" operator="containsText" text="INSIGNIFICANTE">
      <formula>NOT(ISERROR(SEARCH("INSIGNIFICANTE",F18)))</formula>
    </cfRule>
    <cfRule type="containsText" dxfId="5" priority="37" operator="containsText" text="BAJO">
      <formula>NOT(ISERROR(SEARCH("BAJO",F18)))</formula>
    </cfRule>
    <cfRule type="containsText" dxfId="4" priority="38" operator="containsText" text="MEDIO">
      <formula>NOT(ISERROR(SEARCH("MEDIO",F18)))</formula>
    </cfRule>
    <cfRule type="containsText" dxfId="3" priority="39" operator="containsText" text="ALTO">
      <formula>NOT(ISERROR(SEARCH("ALTO",F18)))</formula>
    </cfRule>
    <cfRule type="containsText" dxfId="2" priority="40" operator="containsText" text="CRÍTICO">
      <formula>NOT(ISERROR(SEARCH("CRÍTICO",F18)))</formula>
    </cfRule>
  </conditionalFormatting>
  <dataValidations count="1">
    <dataValidation type="list" allowBlank="1" showInputMessage="1" showErrorMessage="1" sqref="F23:F25 F18:F21 F44:F45 F36:F38 F40:F42 F30:F34 F27:F28" xr:uid="{00000000-0002-0000-0900-000000000000}">
      <formula1>"Crítico,Alto,Medio,Bajo,Insignificante"</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5"/>
  <sheetViews>
    <sheetView showGridLines="0" tabSelected="1" topLeftCell="A28" zoomScale="85" zoomScaleNormal="85" workbookViewId="0">
      <selection activeCell="C15" sqref="C15:D15"/>
    </sheetView>
  </sheetViews>
  <sheetFormatPr baseColWidth="10" defaultColWidth="0" defaultRowHeight="14.25"/>
  <cols>
    <col min="1" max="1" width="8.625" customWidth="1"/>
    <col min="2" max="2" width="35.125" customWidth="1"/>
    <col min="3" max="4" width="62.375" customWidth="1"/>
    <col min="5" max="6" width="19.625" customWidth="1"/>
    <col min="7" max="7" width="9.375" customWidth="1"/>
    <col min="8" max="9" width="37.125" hidden="1" customWidth="1"/>
    <col min="10" max="16384" width="11.375" hidden="1"/>
  </cols>
  <sheetData>
    <row r="1" spans="1:6" ht="26.45" customHeight="1">
      <c r="A1" s="31"/>
      <c r="B1" s="31"/>
      <c r="C1" s="31"/>
      <c r="D1" s="37"/>
      <c r="E1" s="31"/>
      <c r="F1" s="37"/>
    </row>
    <row r="2" spans="1:6" ht="26.45" customHeight="1">
      <c r="A2" s="31"/>
      <c r="B2" s="197" t="s">
        <v>78</v>
      </c>
      <c r="C2" s="198"/>
      <c r="D2" s="198"/>
      <c r="E2" s="198"/>
      <c r="F2" s="198"/>
    </row>
    <row r="3" spans="1:6" ht="26.45" customHeight="1">
      <c r="A3" s="31"/>
      <c r="B3" s="198"/>
      <c r="C3" s="198"/>
      <c r="D3" s="198"/>
      <c r="E3" s="198"/>
      <c r="F3" s="198"/>
    </row>
    <row r="4" spans="1:6" ht="3" customHeight="1">
      <c r="A4" s="81"/>
      <c r="B4" s="81"/>
      <c r="C4" s="81"/>
      <c r="D4" s="82"/>
      <c r="E4" s="81"/>
      <c r="F4" s="82"/>
    </row>
    <row r="5" spans="1:6" ht="15">
      <c r="A5" s="3" t="s">
        <v>0</v>
      </c>
      <c r="B5" s="3"/>
      <c r="C5" s="3" t="s">
        <v>1</v>
      </c>
      <c r="D5" s="4" t="s">
        <v>31</v>
      </c>
      <c r="E5" s="5"/>
      <c r="F5" s="6" t="s">
        <v>2</v>
      </c>
    </row>
    <row r="6" spans="1:6" ht="15">
      <c r="A6" s="3" t="s">
        <v>3</v>
      </c>
      <c r="B6" s="3"/>
      <c r="C6" s="3"/>
      <c r="D6" s="4" t="s">
        <v>4</v>
      </c>
      <c r="E6" s="5"/>
      <c r="F6" s="85" t="s">
        <v>5</v>
      </c>
    </row>
    <row r="7" spans="1:6" ht="15">
      <c r="A7" s="3" t="s">
        <v>6</v>
      </c>
      <c r="B7" s="3"/>
      <c r="C7" s="3"/>
      <c r="D7" s="4" t="s">
        <v>7</v>
      </c>
      <c r="E7" s="3"/>
      <c r="F7" s="6"/>
    </row>
    <row r="8" spans="1:6">
      <c r="D8" s="38"/>
      <c r="E8" s="38"/>
      <c r="F8" s="38"/>
    </row>
    <row r="10" spans="1:6" ht="24.75" customHeight="1">
      <c r="A10" s="151" t="s">
        <v>170</v>
      </c>
      <c r="B10" s="152"/>
      <c r="C10" s="152"/>
      <c r="D10" s="152"/>
      <c r="E10" s="152"/>
      <c r="F10" s="152"/>
    </row>
    <row r="11" spans="1:6">
      <c r="A11" s="39"/>
      <c r="B11" s="7"/>
      <c r="C11" s="7"/>
      <c r="D11" s="7"/>
      <c r="E11" s="7"/>
      <c r="F11" s="7"/>
    </row>
    <row r="12" spans="1:6" ht="24" customHeight="1">
      <c r="A12" s="199" t="s">
        <v>43</v>
      </c>
      <c r="B12" s="200"/>
      <c r="C12" s="200"/>
      <c r="D12" s="201"/>
      <c r="E12" s="40" t="s">
        <v>44</v>
      </c>
      <c r="F12" s="40" t="s">
        <v>45</v>
      </c>
    </row>
    <row r="13" spans="1:6" ht="32.450000000000003" customHeight="1">
      <c r="A13" s="194" t="s">
        <v>54</v>
      </c>
      <c r="B13" s="190" t="s">
        <v>145</v>
      </c>
      <c r="C13" s="179" t="str">
        <f>+'Resumen y valoración'!B18</f>
        <v>Entender la organización y su contexto</v>
      </c>
      <c r="D13" s="180"/>
      <c r="E13" s="96">
        <f>+'Resumen y valoración'!D18</f>
        <v>2</v>
      </c>
      <c r="F13" s="77">
        <v>4</v>
      </c>
    </row>
    <row r="14" spans="1:6" ht="32.450000000000003" customHeight="1">
      <c r="A14" s="195"/>
      <c r="B14" s="184"/>
      <c r="C14" s="179" t="str">
        <f>+'Resumen y valoración'!B19</f>
        <v>Comprender las necesidades y expectativas de las partes interesadas</v>
      </c>
      <c r="D14" s="180"/>
      <c r="E14" s="96">
        <f>+'Resumen y valoración'!D19</f>
        <v>3</v>
      </c>
      <c r="F14" s="77">
        <v>4</v>
      </c>
    </row>
    <row r="15" spans="1:6" ht="32.450000000000003" customHeight="1">
      <c r="A15" s="195"/>
      <c r="B15" s="184"/>
      <c r="C15" s="179" t="str">
        <f>+'Resumen y valoración'!B20</f>
        <v>Determinación del alcance del sistema de gestión de seguridad de la información</v>
      </c>
      <c r="D15" s="180"/>
      <c r="E15" s="96">
        <f>+'Resumen y valoración'!D20</f>
        <v>3</v>
      </c>
      <c r="F15" s="77">
        <v>4</v>
      </c>
    </row>
    <row r="16" spans="1:6" ht="32.450000000000003" customHeight="1">
      <c r="A16" s="195"/>
      <c r="B16" s="185"/>
      <c r="C16" s="181" t="str">
        <f>+'Resumen y valoración'!B21</f>
        <v>Sistema de gestión de seguridad de la información</v>
      </c>
      <c r="D16" s="182"/>
      <c r="E16" s="97">
        <f>+'Resumen y valoración'!D21</f>
        <v>2</v>
      </c>
      <c r="F16" s="90">
        <v>4</v>
      </c>
    </row>
    <row r="17" spans="1:6" ht="30" customHeight="1">
      <c r="A17" s="195"/>
      <c r="B17" s="183" t="s">
        <v>164</v>
      </c>
      <c r="C17" s="186" t="str">
        <f>+'Resumen y valoración'!B23</f>
        <v>Liderazgo y compromiso</v>
      </c>
      <c r="D17" s="187"/>
      <c r="E17" s="98">
        <f>+'Resumen y valoración'!D23</f>
        <v>2</v>
      </c>
      <c r="F17" s="91">
        <v>4</v>
      </c>
    </row>
    <row r="18" spans="1:6" ht="30" customHeight="1">
      <c r="A18" s="195"/>
      <c r="B18" s="184"/>
      <c r="C18" s="188" t="str">
        <f>+'Resumen y valoración'!B24</f>
        <v>Política</v>
      </c>
      <c r="D18" s="189"/>
      <c r="E18" s="96">
        <f>+'Resumen y valoración'!D24</f>
        <v>3</v>
      </c>
      <c r="F18" s="77">
        <v>4</v>
      </c>
    </row>
    <row r="19" spans="1:6" ht="30" customHeight="1">
      <c r="A19" s="195"/>
      <c r="B19" s="185"/>
      <c r="C19" s="202" t="str">
        <f>+'Resumen y valoración'!B25</f>
        <v>Funciones, responsabilidades y autoridades de la organización</v>
      </c>
      <c r="D19" s="203"/>
      <c r="E19" s="97">
        <f>+'Resumen y valoración'!D25</f>
        <v>2</v>
      </c>
      <c r="F19" s="90">
        <v>4</v>
      </c>
    </row>
    <row r="20" spans="1:6" ht="30" customHeight="1">
      <c r="A20" s="195"/>
      <c r="B20" s="183" t="s">
        <v>148</v>
      </c>
      <c r="C20" s="188" t="str">
        <f>+'Resumen y valoración'!B27</f>
        <v>Acciones para abordar riesgos y oportunidades</v>
      </c>
      <c r="D20" s="189"/>
      <c r="E20" s="99">
        <f>+'Resumen y valoración'!D27</f>
        <v>2</v>
      </c>
      <c r="F20" s="89">
        <v>4</v>
      </c>
    </row>
    <row r="21" spans="1:6" ht="30" customHeight="1">
      <c r="A21" s="195"/>
      <c r="B21" s="191"/>
      <c r="C21" s="192" t="str">
        <f>+'Resumen y valoración'!B28</f>
        <v>Objetivos de Seguridad de la Información y planificación para alcanzarlos</v>
      </c>
      <c r="D21" s="193"/>
      <c r="E21" s="100">
        <f>+'Resumen y valoración'!D28</f>
        <v>2</v>
      </c>
      <c r="F21" s="78">
        <v>4</v>
      </c>
    </row>
    <row r="22" spans="1:6" ht="30" customHeight="1">
      <c r="A22" s="195"/>
      <c r="B22" s="190" t="s">
        <v>153</v>
      </c>
      <c r="C22" s="179" t="str">
        <f>+'Resumen y valoración'!B30</f>
        <v>Recursos</v>
      </c>
      <c r="D22" s="180"/>
      <c r="E22" s="96">
        <f>+'Resumen y valoración'!D30</f>
        <v>3</v>
      </c>
      <c r="F22" s="77">
        <v>4</v>
      </c>
    </row>
    <row r="23" spans="1:6" ht="30" customHeight="1">
      <c r="A23" s="195"/>
      <c r="B23" s="184"/>
      <c r="C23" s="179" t="str">
        <f>+'Resumen y valoración'!B31</f>
        <v>Competencia</v>
      </c>
      <c r="D23" s="180"/>
      <c r="E23" s="96">
        <f>+'Resumen y valoración'!D31</f>
        <v>3</v>
      </c>
      <c r="F23" s="77">
        <v>4</v>
      </c>
    </row>
    <row r="24" spans="1:6" ht="30" customHeight="1">
      <c r="A24" s="195"/>
      <c r="B24" s="184"/>
      <c r="C24" s="179" t="str">
        <f>+'Resumen y valoración'!B32</f>
        <v>Conciencia</v>
      </c>
      <c r="D24" s="180"/>
      <c r="E24" s="96">
        <f>+'Resumen y valoración'!D32</f>
        <v>2</v>
      </c>
      <c r="F24" s="77">
        <v>4</v>
      </c>
    </row>
    <row r="25" spans="1:6" ht="30" customHeight="1">
      <c r="A25" s="195"/>
      <c r="B25" s="184"/>
      <c r="C25" s="179" t="str">
        <f>+'Resumen y valoración'!B33</f>
        <v>Comunicación</v>
      </c>
      <c r="D25" s="180"/>
      <c r="E25" s="96">
        <f>+'Resumen y valoración'!D33</f>
        <v>3</v>
      </c>
      <c r="F25" s="77">
        <v>4</v>
      </c>
    </row>
    <row r="26" spans="1:6" ht="30" customHeight="1">
      <c r="A26" s="195"/>
      <c r="B26" s="191"/>
      <c r="C26" s="192" t="str">
        <f>+'Resumen y valoración'!B34</f>
        <v>Información documentada</v>
      </c>
      <c r="D26" s="193"/>
      <c r="E26" s="100">
        <f>+'Resumen y valoración'!D34</f>
        <v>2</v>
      </c>
      <c r="F26" s="78">
        <v>4</v>
      </c>
    </row>
    <row r="27" spans="1:6" ht="32.450000000000003" customHeight="1">
      <c r="A27" s="195"/>
      <c r="B27" s="196" t="s">
        <v>158</v>
      </c>
      <c r="C27" s="179" t="str">
        <f>+'Resumen y valoración'!B36</f>
        <v>Planificación y control operativo</v>
      </c>
      <c r="D27" s="180"/>
      <c r="E27" s="96">
        <f>+'Resumen y valoración'!D36</f>
        <v>2</v>
      </c>
      <c r="F27" s="77">
        <v>4</v>
      </c>
    </row>
    <row r="28" spans="1:6" ht="32.450000000000003" customHeight="1">
      <c r="A28" s="195"/>
      <c r="B28" s="184"/>
      <c r="C28" s="179" t="str">
        <f>+'Resumen y valoración'!B37</f>
        <v>Evaluación de riesgos de Seguridad de la Información</v>
      </c>
      <c r="D28" s="180"/>
      <c r="E28" s="96">
        <f>+'Resumen y valoración'!D37</f>
        <v>2</v>
      </c>
      <c r="F28" s="77">
        <v>4</v>
      </c>
    </row>
    <row r="29" spans="1:6" ht="32.450000000000003" customHeight="1">
      <c r="A29" s="195"/>
      <c r="B29" s="185"/>
      <c r="C29" s="181" t="str">
        <f>+'Resumen y valoración'!B38</f>
        <v>Tratamiento de riesgos de Seguridad de la Información</v>
      </c>
      <c r="D29" s="182"/>
      <c r="E29" s="97">
        <f>+'Resumen y valoración'!D38</f>
        <v>2</v>
      </c>
      <c r="F29" s="90">
        <v>4</v>
      </c>
    </row>
    <row r="30" spans="1:6" ht="30" customHeight="1">
      <c r="A30" s="195"/>
      <c r="B30" s="183" t="s">
        <v>169</v>
      </c>
      <c r="C30" s="186" t="str">
        <f>+'Resumen y valoración'!B40</f>
        <v>Seguimiento, medición, análisis y evaluación</v>
      </c>
      <c r="D30" s="187"/>
      <c r="E30" s="98">
        <f>+'Resumen y valoración'!D40</f>
        <v>3</v>
      </c>
      <c r="F30" s="91">
        <v>4</v>
      </c>
    </row>
    <row r="31" spans="1:6" ht="30" customHeight="1">
      <c r="A31" s="195"/>
      <c r="B31" s="184"/>
      <c r="C31" s="179" t="str">
        <f>+'Resumen y valoración'!B41</f>
        <v>Auditoría Interna</v>
      </c>
      <c r="D31" s="180"/>
      <c r="E31" s="96">
        <f>+'Resumen y valoración'!D41</f>
        <v>2</v>
      </c>
      <c r="F31" s="77">
        <v>4</v>
      </c>
    </row>
    <row r="32" spans="1:6" ht="30" customHeight="1">
      <c r="A32" s="195"/>
      <c r="B32" s="185"/>
      <c r="C32" s="181" t="str">
        <f>+'Resumen y valoración'!B42</f>
        <v>Revisión por la dirección</v>
      </c>
      <c r="D32" s="182"/>
      <c r="E32" s="97">
        <f>+'Resumen y valoración'!D42</f>
        <v>2</v>
      </c>
      <c r="F32" s="90">
        <v>4</v>
      </c>
    </row>
    <row r="33" spans="1:6" ht="30" customHeight="1">
      <c r="A33" s="195"/>
      <c r="B33" s="184" t="s">
        <v>162</v>
      </c>
      <c r="C33" s="188" t="str">
        <f>+'Resumen y valoración'!B44</f>
        <v>Mejora continua</v>
      </c>
      <c r="D33" s="189"/>
      <c r="E33" s="99">
        <f>+'Resumen y valoración'!D44</f>
        <v>2</v>
      </c>
      <c r="F33" s="89">
        <v>4</v>
      </c>
    </row>
    <row r="34" spans="1:6" ht="30" customHeight="1">
      <c r="A34" s="195"/>
      <c r="B34" s="184"/>
      <c r="C34" s="179" t="str">
        <f>+'Resumen y valoración'!B45</f>
        <v>No conformidad y acción correctiva</v>
      </c>
      <c r="D34" s="180"/>
      <c r="E34" s="96">
        <f>+'Resumen y valoración'!D45</f>
        <v>2</v>
      </c>
      <c r="F34" s="77">
        <v>4</v>
      </c>
    </row>
    <row r="35" spans="1:6">
      <c r="A35" s="39"/>
      <c r="B35" s="7"/>
      <c r="C35" s="7"/>
      <c r="F35" s="38"/>
    </row>
    <row r="36" spans="1:6" ht="20.25" customHeight="1">
      <c r="A36" s="169" t="s">
        <v>46</v>
      </c>
      <c r="B36" s="114"/>
      <c r="C36" s="114"/>
      <c r="D36" s="114"/>
      <c r="E36" s="114"/>
      <c r="F36" s="114"/>
    </row>
    <row r="37" spans="1:6" ht="49.5" customHeight="1">
      <c r="A37" s="34"/>
    </row>
    <row r="38" spans="1:6" ht="49.5" customHeight="1">
      <c r="A38" s="34"/>
    </row>
    <row r="39" spans="1:6" ht="49.5" customHeight="1">
      <c r="A39" s="34"/>
    </row>
    <row r="40" spans="1:6" ht="49.5" customHeight="1">
      <c r="A40" s="34"/>
    </row>
    <row r="41" spans="1:6" ht="49.5" customHeight="1">
      <c r="A41" s="34"/>
      <c r="F41" s="79"/>
    </row>
    <row r="42" spans="1:6" ht="49.5" customHeight="1">
      <c r="A42" s="34"/>
    </row>
    <row r="43" spans="1:6" ht="49.5" customHeight="1">
      <c r="A43" s="34"/>
    </row>
    <row r="44" spans="1:6" ht="49.5" customHeight="1">
      <c r="A44" s="34"/>
    </row>
    <row r="45" spans="1:6" ht="49.5" customHeight="1">
      <c r="A45" s="34"/>
    </row>
    <row r="46" spans="1:6" ht="49.5" customHeight="1">
      <c r="A46" s="34"/>
    </row>
    <row r="47" spans="1:6" ht="49.5" customHeight="1">
      <c r="A47" s="34"/>
    </row>
    <row r="48" spans="1:6" ht="49.5" customHeight="1">
      <c r="A48" s="34"/>
    </row>
    <row r="49" spans="1:6" ht="49.5" customHeight="1">
      <c r="A49" s="34"/>
      <c r="F49" s="79"/>
    </row>
    <row r="50" spans="1:6" ht="49.5" customHeight="1">
      <c r="A50" s="34"/>
    </row>
    <row r="51" spans="1:6" ht="11.1" customHeight="1">
      <c r="A51" s="34"/>
    </row>
    <row r="52" spans="1:6" ht="24" customHeight="1">
      <c r="A52" s="169" t="s">
        <v>13</v>
      </c>
      <c r="B52" s="114"/>
      <c r="C52" s="114"/>
      <c r="D52" s="114"/>
      <c r="E52" s="114"/>
      <c r="F52" s="114"/>
    </row>
    <row r="53" spans="1:6">
      <c r="A53" s="34"/>
    </row>
    <row r="54" spans="1:6">
      <c r="A54" s="34"/>
    </row>
    <row r="55" spans="1:6">
      <c r="A55" s="35"/>
      <c r="B55" s="36"/>
      <c r="C55" s="36"/>
      <c r="D55" s="36"/>
      <c r="E55" s="36"/>
      <c r="F55" s="36"/>
    </row>
  </sheetData>
  <mergeCells count="35">
    <mergeCell ref="C15:D15"/>
    <mergeCell ref="C16:D16"/>
    <mergeCell ref="C17:D17"/>
    <mergeCell ref="B13:B16"/>
    <mergeCell ref="C21:D21"/>
    <mergeCell ref="C19:D19"/>
    <mergeCell ref="C18:D18"/>
    <mergeCell ref="B2:F3"/>
    <mergeCell ref="A10:F10"/>
    <mergeCell ref="A12:D12"/>
    <mergeCell ref="C13:D13"/>
    <mergeCell ref="C14:D14"/>
    <mergeCell ref="B33:B34"/>
    <mergeCell ref="C20:D20"/>
    <mergeCell ref="C23:D23"/>
    <mergeCell ref="A36:F36"/>
    <mergeCell ref="A52:F52"/>
    <mergeCell ref="B22:B26"/>
    <mergeCell ref="C22:D22"/>
    <mergeCell ref="C24:D24"/>
    <mergeCell ref="C25:D25"/>
    <mergeCell ref="C26:D26"/>
    <mergeCell ref="A13:A34"/>
    <mergeCell ref="B17:B19"/>
    <mergeCell ref="B20:B21"/>
    <mergeCell ref="B27:B29"/>
    <mergeCell ref="C33:D33"/>
    <mergeCell ref="C34:D34"/>
    <mergeCell ref="C27:D27"/>
    <mergeCell ref="C28:D28"/>
    <mergeCell ref="C29:D29"/>
    <mergeCell ref="B30:B32"/>
    <mergeCell ref="C30:D30"/>
    <mergeCell ref="C31:D31"/>
    <mergeCell ref="C32:D32"/>
  </mergeCells>
  <conditionalFormatting sqref="B35 B11">
    <cfRule type="duplicateValues" dxfId="1" priority="2"/>
  </conditionalFormatting>
  <conditionalFormatting sqref="E13:E34">
    <cfRule type="containsText" dxfId="0" priority="1" operator="containsText" text="SELECCIONE SOLAMENTE UN NIVEL">
      <formula>NOT(ISERROR(SEARCH("SELECCIONE SOLAMENTE UN NIVEL",E13)))</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Guía de uso</vt:lpstr>
      <vt:lpstr>Check - Contexto</vt:lpstr>
      <vt:lpstr>Check - Liderazgo</vt:lpstr>
      <vt:lpstr>Check - Planificación</vt:lpstr>
      <vt:lpstr>Check - Soporte</vt:lpstr>
      <vt:lpstr>Check - Operación</vt:lpstr>
      <vt:lpstr>Check - Evaluación</vt:lpstr>
      <vt:lpstr>Check - Mejora</vt:lpstr>
      <vt:lpstr>Recomendaciones</vt:lpstr>
      <vt:lpstr>Resumen y valoración</vt:lpstr>
      <vt:lpstr>Gráfico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Auditool</dc:creator>
  <cp:lastModifiedBy>Estudiante Campus Popayán</cp:lastModifiedBy>
  <dcterms:created xsi:type="dcterms:W3CDTF">2024-06-20T12:48:37Z</dcterms:created>
  <dcterms:modified xsi:type="dcterms:W3CDTF">2024-09-14T16:00:34Z</dcterms:modified>
</cp:coreProperties>
</file>